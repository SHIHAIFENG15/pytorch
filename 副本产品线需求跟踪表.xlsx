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00839695\Documents\"/>
    </mc:Choice>
  </mc:AlternateContent>
  <xr:revisionPtr revIDLastSave="0" documentId="8_{62CE2B86-C778-4752-8768-7B8A08D2F360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统计" sheetId="2" r:id="rId1"/>
    <sheet name="需求规划" sheetId="1" r:id="rId2"/>
    <sheet name="Sheet3" sheetId="3" r:id="rId3"/>
  </sheets>
  <definedNames>
    <definedName name="_xlnm._FilterDatabase" localSheetId="1" hidden="1">需求规划!$A$1:$H$29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2" l="1"/>
</calcChain>
</file>

<file path=xl/sharedStrings.xml><?xml version="1.0" encoding="utf-8"?>
<sst xmlns="http://schemas.openxmlformats.org/spreadsheetml/2006/main" count="168" uniqueCount="87">
  <si>
    <t>模块</t>
  </si>
  <si>
    <t>需求描述</t>
  </si>
  <si>
    <t>难度</t>
  </si>
  <si>
    <t>工作量（人月）</t>
  </si>
  <si>
    <t>期望交付时间</t>
  </si>
  <si>
    <t>分布式</t>
  </si>
  <si>
    <t>中</t>
  </si>
  <si>
    <t>2人月</t>
  </si>
  <si>
    <t>4人月</t>
  </si>
  <si>
    <t>对齐社区10+接口，基于cann/shmem库在torch_npu中开发对称内存相关接口</t>
  </si>
  <si>
    <t>难</t>
  </si>
  <si>
    <t>9人月</t>
  </si>
  <si>
    <t>社区2.13，2.14新版本相关PR分析，识别PTA需要适配的特性，以及agent能力优化（特性层面梳理未对齐点）</t>
  </si>
  <si>
    <t>易</t>
  </si>
  <si>
    <t>Core</t>
  </si>
  <si>
    <t>3人月</t>
  </si>
  <si>
    <t>不建议-架构相关</t>
  </si>
  <si>
    <t>2.5人月</t>
  </si>
  <si>
    <t>计算类数量（10左右）、工作量梳理，cann已支持）</t>
  </si>
  <si>
    <t>1人月</t>
  </si>
  <si>
    <t>在功能与原生API完全兼容的前提下，适配TransformerEncoder和TransformerDecoder在NPU上的实现。可通过分解小算子拼接实现。
精度满足要求，有使用约束的情况下说明使用限制。</t>
  </si>
  <si>
    <t>0.5人月</t>
  </si>
  <si>
    <t>torch.nn.functional.rms_norm在pytorch的高版本中已接入融合算子，当前pta中未接入融合算子，需求和社区调用路径保持一致。
精度满足要求，性能相比小算子拼接版本有提升。</t>
  </si>
  <si>
    <t>6人月</t>
  </si>
  <si>
    <t>支持低精预训练、QAT SFT、PTQ SFT等基本训练场景，部分训练场景已具备，需补齐能力矩阵</t>
  </si>
  <si>
    <t>支持FP8/MXFP8/HIFP8，进一步支持MXFP4/HIFP4，对比高精做到精度损失低于？%</t>
  </si>
  <si>
    <t>包括整体能力看护、多框架适配和DFx能力</t>
  </si>
  <si>
    <t>参与社区共建，提升社区易用性，完成硬件解耦</t>
  </si>
  <si>
    <t>图模式</t>
  </si>
  <si>
    <t>在明确支持的算子、dtype、Shape 和硬件范围内，实现bitwise精度一致性</t>
  </si>
  <si>
    <t>inductor cube类算子核心计算模板</t>
  </si>
  <si>
    <t>建立npu inductor独立拥有的高性能模板体系，优先解决模型中占比最高的矩阵计算。</t>
  </si>
  <si>
    <t>训练专属特性</t>
  </si>
  <si>
    <t>可观测性和工程体系</t>
  </si>
  <si>
    <t>支撑后续优化从“人工猜测”转向“数据驱动”。</t>
  </si>
  <si>
    <t>运行时安全增强</t>
  </si>
  <si>
    <t>图模式benchmarks模型对齐社区，加入日常看护流水</t>
  </si>
  <si>
    <t>ProcessGroup特性社区版本跟随
1、shutdown阶段支持aborted状态
2、collective、collectiveCoalesced和pointToPoint里coalesce逻辑差异
3、barrier接口中获取device_id逻辑差异</t>
    <phoneticPr fontId="1" type="noConversion"/>
  </si>
  <si>
    <t>对称内存特性，对齐社区symm_mem相关接口</t>
    <phoneticPr fontId="1" type="noConversion"/>
  </si>
  <si>
    <t>torchtitan社区新增特性适配
1、图优化pass：  3人月
2、整图优化：3人月
torchtitan适配GraphTrainer关键特性
3、混合并行能力入图：3人月
支持SimpleFSDP入图组合TP/CP/EP/GraphPP多种混合并行、混合精度训练、激活重算</t>
    <phoneticPr fontId="1" type="noConversion"/>
  </si>
  <si>
    <t>社区PR分析与适配</t>
    <phoneticPr fontId="1" type="noConversion"/>
  </si>
  <si>
    <t>torchcomms通信库通信API补齐</t>
    <phoneticPr fontId="1" type="noConversion"/>
  </si>
  <si>
    <t>torchcomms通信加速特性适配</t>
    <phoneticPr fontId="1" type="noConversion"/>
  </si>
  <si>
    <t>和CANN相关，但均已完备。待补充API数量（10+）和对应的人力（2人投1月）</t>
    <phoneticPr fontId="1" type="noConversion"/>
  </si>
  <si>
    <t>torchcomms中ncclx是meta自研通信框架，分析其中新特性，并结合昇腾hccl识别优化点（930前做方案设计和需求规划，1030前投入开发）</t>
    <phoneticPr fontId="1" type="noConversion"/>
  </si>
  <si>
    <t>原生社区新版本API能力跟随</t>
    <phoneticPr fontId="1" type="noConversion"/>
  </si>
  <si>
    <t>Fallback CPU计算类API昇腾亲和使能</t>
    <phoneticPr fontId="1" type="noConversion"/>
  </si>
  <si>
    <t>自定义算子仓解耦</t>
    <phoneticPr fontId="1" type="noConversion"/>
  </si>
  <si>
    <t xml:space="preserve">适配torch.nn.TransformerEncoder和torch.nn.TransformerDecoder（客户诉求）
</t>
    <phoneticPr fontId="1" type="noConversion"/>
  </si>
  <si>
    <t>torch.nn.functional.rms_norm在高版本适配融合算子（性能优化）</t>
    <phoneticPr fontId="1" type="noConversion"/>
  </si>
  <si>
    <t>torchao_npu社区图模式支持</t>
    <phoneticPr fontId="1" type="noConversion"/>
  </si>
  <si>
    <t>torchao_npu社区训练场景支持</t>
    <phoneticPr fontId="1" type="noConversion"/>
  </si>
  <si>
    <t>torchao_npu社区低精数据类型支持</t>
    <phoneticPr fontId="1" type="noConversion"/>
  </si>
  <si>
    <t>inductor Host-bound 执行与部署性能优化（小巧灵SE投入）</t>
    <phoneticPr fontId="1" type="noConversion"/>
  </si>
  <si>
    <t>不少真实模型并非完全 device bound：小 kernel 多、动态 Shape、多次 Python/C++ 边界切换时，
host 侧的 Python 调用、参数封装、调度计算和 kernel launch 会掩盖设备端优化收益。本方向的目标
是让 compiled 模型以低开销的原生执行形式交付，降低端到端延迟。</t>
    <phoneticPr fontId="1" type="noConversion"/>
  </si>
  <si>
    <t>让 pointwise、Reduction、MM/BMM 和后续模板根据 Shape、dtype 和硬件自动选择配置。</t>
    <phoneticPr fontId="1" type="noConversion"/>
  </si>
  <si>
    <t>同一个编译产物覆盖多个合法 Shape，并确保 A2/A3/A5 的 kernel 与 launcher 语义一致。</t>
    <phoneticPr fontId="1" type="noConversion"/>
  </si>
  <si>
    <t>补齐训练场景中的 RNG、deterministic、saved tensor、lazy backward 和 checkpoint 语义。</t>
    <phoneticPr fontId="1" type="noConversion"/>
  </si>
  <si>
    <t>在通用模板、融合和 Reduction 稳定后，集中优化实际模型热点。</t>
    <phoneticPr fontId="1" type="noConversion"/>
  </si>
  <si>
    <t>降低碎片化图中大量小 pointwise kernel 的 host launch 开销；它是 Host-bound 主线在复杂图上的
进一步优化，不替代 C++ Wrapper/AOTI 的基础交付能力。</t>
    <phoneticPr fontId="1" type="noConversion"/>
  </si>
  <si>
    <t>工作量</t>
    <phoneticPr fontId="1" type="noConversion"/>
  </si>
  <si>
    <t>支持torch.compile入图兼容，包括wrap tensor能力（融合大算子入图由海思主导）</t>
    <phoneticPr fontId="1" type="noConversion"/>
  </si>
  <si>
    <t>减少中间 Tensor 写回和 kernel launch，同时控制 UB、索引复杂度和编译时间。</t>
    <phoneticPr fontId="1" type="noConversion"/>
  </si>
  <si>
    <t>小巧灵</t>
  </si>
  <si>
    <t>小巧灵</t>
    <phoneticPr fontId="1" type="noConversion"/>
  </si>
  <si>
    <t>/</t>
    <phoneticPr fontId="1" type="noConversion"/>
  </si>
  <si>
    <t>求和项:工作量</t>
  </si>
  <si>
    <t>行标签</t>
  </si>
  <si>
    <t>总计</t>
  </si>
  <si>
    <t>benchmarks模型看护支持（小巧灵SE投入）</t>
    <phoneticPr fontId="1" type="noConversion"/>
  </si>
  <si>
    <t>inductor Reduction融合专项</t>
    <phoneticPr fontId="1" type="noConversion"/>
  </si>
  <si>
    <t>（计算类数量（20左右）、工作量、依赖CANN的API梳理）</t>
    <phoneticPr fontId="1" type="noConversion"/>
  </si>
  <si>
    <t>Core-API</t>
    <phoneticPr fontId="1" type="noConversion"/>
  </si>
  <si>
    <t>Core-torchao</t>
    <phoneticPr fontId="1" type="noConversion"/>
  </si>
  <si>
    <t>Python/C++ wrapper 的 size、stride、alignment、device 和 dtype 断言；间接索引越界诊断；i64/fp64 downcast 范围证明；NaN/Inf debug 插桩；更明确的 ABI 和错误信息。</t>
    <phoneticPr fontId="1" type="noConversion"/>
  </si>
  <si>
    <t>人力系数</t>
    <phoneticPr fontId="1" type="noConversion"/>
  </si>
  <si>
    <t>通用 Autotune</t>
    <phoneticPr fontId="1" type="noConversion"/>
  </si>
  <si>
    <t>动态 Shape 与设备调度</t>
    <phoneticPr fontId="1" type="noConversion"/>
  </si>
  <si>
    <t>Transformer 复合优化</t>
    <phoneticPr fontId="1" type="noConversion"/>
  </si>
  <si>
    <t>ComboKernel 与小算子批处理</t>
    <phoneticPr fontId="1" type="noConversion"/>
  </si>
  <si>
    <t>torchao_npu社区易用性提升</t>
    <phoneticPr fontId="1" type="noConversion"/>
  </si>
  <si>
    <t>torchao社区贡献</t>
    <phoneticPr fontId="1" type="noConversion"/>
  </si>
  <si>
    <t>inductor社区 bitwise 数值对齐（小巧灵SE投入）</t>
    <phoneticPr fontId="1" type="noConversion"/>
  </si>
  <si>
    <t>初步分工</t>
  </si>
  <si>
    <t>初步分工</t>
    <phoneticPr fontId="1" type="noConversion"/>
  </si>
  <si>
    <t>剩余月数</t>
    <phoneticPr fontId="1" type="noConversion"/>
  </si>
  <si>
    <t>投入人力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</si>
</sst>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shuangfeng (Jimmy)" refreshedDate="46268.420909606481" createdVersion="6" refreshedVersion="6" minRefreshableVersion="3" recordCount="28" xr:uid="{73F2FDFC-55FE-443A-96CA-A86DCCF448AE}">
  <cacheSource type="worksheet">
    <worksheetSource ref="A1:G29" sheet="需求规划"/>
  </cacheSource>
  <cacheFields count="7">
    <cacheField name="模块" numFmtId="0">
      <sharedItems count="5">
        <s v="分布式"/>
        <s v="Core"/>
        <s v="Core-API"/>
        <s v="Core-torchao"/>
        <s v="图模式"/>
      </sharedItems>
    </cacheField>
    <cacheField name="需求描述" numFmtId="0">
      <sharedItems/>
    </cacheField>
    <cacheField name="难度" numFmtId="0">
      <sharedItems/>
    </cacheField>
    <cacheField name="工作量（人月）" numFmtId="0">
      <sharedItems/>
    </cacheField>
    <cacheField name="工作量" numFmtId="0">
      <sharedItems containsSemiMixedTypes="0" containsString="0" containsNumber="1" minValue="0.5" maxValue="10"/>
    </cacheField>
    <cacheField name="初步分工" numFmtId="0">
      <sharedItems containsBlank="1" count="2">
        <s v="小巧灵"/>
        <m/>
      </sharedItems>
    </cacheField>
    <cacheField name="期望交付时间" numFmtId="0">
      <sharedItems containsSemiMixedTypes="0" containsString="0" containsNumber="1" containsInteger="1" minValue="930" maxValue="1230" count="4">
        <n v="1030"/>
        <n v="1130"/>
        <n v="930"/>
        <n v="123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s v="ProcessGroup特性社区版本跟随_x000a_1、shutdown阶段支持aborted状态_x000a_2、collective、collectiveCoalesced和pointToPoint里coalesce逻辑差异_x000a_3、barrier接口中获取device_id逻辑差异"/>
    <s v="中"/>
    <s v="2人月"/>
    <n v="2"/>
    <x v="0"/>
    <x v="0"/>
  </r>
  <r>
    <x v="0"/>
    <s v="对称内存特性，对齐社区symm_mem相关接口"/>
    <s v="中"/>
    <s v="4人月"/>
    <n v="4"/>
    <x v="0"/>
    <x v="1"/>
  </r>
  <r>
    <x v="0"/>
    <s v="torchtitan社区新增特性适配_x000a_1、图优化pass：  3人月_x000a_2、整图优化：3人月_x000a_torchtitan适配GraphTrainer关键特性_x000a_3、混合并行能力入图：3人月_x000a_支持SimpleFSDP入图组合TP/CP/EP/GraphPP多种混合并行、混合精度训练、激活重算"/>
    <s v="难"/>
    <s v="9人月"/>
    <n v="9"/>
    <x v="0"/>
    <x v="1"/>
  </r>
  <r>
    <x v="0"/>
    <s v="社区PR分析与适配"/>
    <s v="中"/>
    <s v="2人月"/>
    <n v="2"/>
    <x v="1"/>
    <x v="0"/>
  </r>
  <r>
    <x v="0"/>
    <s v="torchcomms通信库通信API补齐"/>
    <s v="易"/>
    <s v="2人月"/>
    <n v="2"/>
    <x v="0"/>
    <x v="2"/>
  </r>
  <r>
    <x v="0"/>
    <s v="torchcomms通信加速特性适配"/>
    <s v="难"/>
    <s v="/"/>
    <n v="10"/>
    <x v="0"/>
    <x v="3"/>
  </r>
  <r>
    <x v="1"/>
    <s v="自定义算子仓解耦"/>
    <s v="中"/>
    <s v="3人月"/>
    <n v="3"/>
    <x v="1"/>
    <x v="1"/>
  </r>
  <r>
    <x v="2"/>
    <s v="原生社区新版本API能力跟随"/>
    <s v="中"/>
    <s v="/"/>
    <n v="10"/>
    <x v="0"/>
    <x v="1"/>
  </r>
  <r>
    <x v="2"/>
    <s v="Fallback CPU计算类API昇腾亲和使能"/>
    <s v="中"/>
    <s v="2.5人月"/>
    <n v="2.5"/>
    <x v="0"/>
    <x v="1"/>
  </r>
  <r>
    <x v="2"/>
    <s v="适配torch.nn.TransformerEncoder和torch.nn.TransformerDecoder（客户诉求）_x000a_"/>
    <s v="中"/>
    <s v="1人月"/>
    <n v="1"/>
    <x v="0"/>
    <x v="1"/>
  </r>
  <r>
    <x v="2"/>
    <s v="torch.nn.functional.rms_norm在高版本适配融合算子（性能优化）"/>
    <s v="易"/>
    <s v="0.5人月"/>
    <n v="0.5"/>
    <x v="0"/>
    <x v="0"/>
  </r>
  <r>
    <x v="3"/>
    <s v="torchao_npu社区图模式支持"/>
    <s v="难"/>
    <s v="6人月"/>
    <n v="6"/>
    <x v="1"/>
    <x v="1"/>
  </r>
  <r>
    <x v="3"/>
    <s v="torchao_npu社区训练场景支持"/>
    <s v="中"/>
    <s v="9人月"/>
    <n v="9"/>
    <x v="1"/>
    <x v="0"/>
  </r>
  <r>
    <x v="3"/>
    <s v="torchao_npu社区低精数据类型支持"/>
    <s v="难"/>
    <s v="6人月"/>
    <n v="6"/>
    <x v="1"/>
    <x v="3"/>
  </r>
  <r>
    <x v="3"/>
    <s v="torchao_npu社区易用性提升"/>
    <s v="易"/>
    <s v="3人月"/>
    <n v="3"/>
    <x v="1"/>
    <x v="1"/>
  </r>
  <r>
    <x v="3"/>
    <s v="torchao社区贡献"/>
    <s v="中"/>
    <s v="3人月"/>
    <n v="3"/>
    <x v="1"/>
    <x v="3"/>
  </r>
  <r>
    <x v="4"/>
    <s v="inductor社区 bitwise 数值对齐（小巧灵SE投入）"/>
    <s v="难"/>
    <s v="6人月"/>
    <n v="6"/>
    <x v="1"/>
    <x v="3"/>
  </r>
  <r>
    <x v="4"/>
    <s v="inductor cube类算子核心计算模板"/>
    <s v="难"/>
    <s v="6人月"/>
    <n v="6"/>
    <x v="1"/>
    <x v="3"/>
  </r>
  <r>
    <x v="4"/>
    <s v="inductor Reduction融合专项"/>
    <s v="难"/>
    <s v="3人月"/>
    <n v="3"/>
    <x v="0"/>
    <x v="3"/>
  </r>
  <r>
    <x v="4"/>
    <s v="inductor Host-bound 执行与部署性能优化（小巧灵SE投入）"/>
    <s v="难"/>
    <s v="6人月"/>
    <n v="6"/>
    <x v="0"/>
    <x v="3"/>
  </r>
  <r>
    <x v="4"/>
    <s v="通用 Autotune"/>
    <s v="难"/>
    <s v="3人月"/>
    <n v="3"/>
    <x v="0"/>
    <x v="3"/>
  </r>
  <r>
    <x v="4"/>
    <s v="动态 Shape 与设备调度"/>
    <s v="难"/>
    <s v="3人月"/>
    <n v="3"/>
    <x v="0"/>
    <x v="3"/>
  </r>
  <r>
    <x v="4"/>
    <s v="训练专属特性"/>
    <s v="难"/>
    <s v="3人月"/>
    <n v="3"/>
    <x v="1"/>
    <x v="3"/>
  </r>
  <r>
    <x v="4"/>
    <s v="Transformer 复合优化"/>
    <s v="难"/>
    <s v="3人月"/>
    <n v="3"/>
    <x v="0"/>
    <x v="3"/>
  </r>
  <r>
    <x v="4"/>
    <s v="ComboKernel 与小算子批处理"/>
    <s v="难"/>
    <s v="3人月"/>
    <n v="3"/>
    <x v="0"/>
    <x v="3"/>
  </r>
  <r>
    <x v="4"/>
    <s v="可观测性和工程体系"/>
    <s v="中"/>
    <s v="3人月"/>
    <n v="3"/>
    <x v="1"/>
    <x v="3"/>
  </r>
  <r>
    <x v="4"/>
    <s v="运行时安全增强"/>
    <s v="中"/>
    <s v="3人月"/>
    <n v="3"/>
    <x v="1"/>
    <x v="3"/>
  </r>
  <r>
    <x v="4"/>
    <s v="benchmarks模型看护支持（小巧灵SE投入）"/>
    <s v="中"/>
    <s v="6人月"/>
    <n v="6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B8E6CD-3CDF-43D1-8200-F1899814E753}" name="数据透视表1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5:B10" firstHeaderRow="1" firstDataRow="1" firstDataCol="1" rowPageCount="1" colPageCount="1"/>
  <pivotFields count="7">
    <pivotField multipleItemSelectionAllowed="1" showAll="0">
      <items count="6">
        <item x="1"/>
        <item x="2"/>
        <item x="3"/>
        <item x="0"/>
        <item x="4"/>
        <item t="default"/>
      </items>
    </pivotField>
    <pivotField showAll="0"/>
    <pivotField multipleItemSelectionAllowed="1" showAll="0"/>
    <pivotField showAll="0"/>
    <pivotField dataField="1" showAll="0"/>
    <pivotField axis="axisPage" multipleItemSelectionAllowed="1" showAll="0">
      <items count="3">
        <item x="0"/>
        <item h="1" x="1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5" hier="-1"/>
  </pageFields>
  <dataFields count="1">
    <dataField name="求和项:工作量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14"/>
  <sheetViews>
    <sheetView zoomScaleNormal="100" workbookViewId="0">
      <selection activeCell="C24" sqref="C24"/>
    </sheetView>
  </sheetViews>
  <sheetFormatPr defaultRowHeight="14" x14ac:dyDescent="0.25"/>
  <cols>
    <col min="1" max="1" width="9.81640625" bestFit="1" customWidth="1"/>
    <col min="2" max="2" width="15.26953125" bestFit="1" customWidth="1"/>
    <col min="3" max="3" width="22.81640625" customWidth="1"/>
    <col min="4" max="4" width="18.54296875" customWidth="1"/>
    <col min="5" max="5" width="5.6328125" bestFit="1" customWidth="1"/>
    <col min="6" max="6" width="5.453125" bestFit="1" customWidth="1"/>
  </cols>
  <sheetData>
    <row r="3" spans="1:2" x14ac:dyDescent="0.25">
      <c r="A3" s="3" t="s">
        <v>83</v>
      </c>
      <c r="B3" t="s">
        <v>63</v>
      </c>
    </row>
    <row r="5" spans="1:2" x14ac:dyDescent="0.25">
      <c r="A5" s="3" t="s">
        <v>67</v>
      </c>
      <c r="B5" t="s">
        <v>66</v>
      </c>
    </row>
    <row r="6" spans="1:2" x14ac:dyDescent="0.25">
      <c r="A6" s="4">
        <v>930</v>
      </c>
      <c r="B6" s="2">
        <v>2</v>
      </c>
    </row>
    <row r="7" spans="1:2" x14ac:dyDescent="0.25">
      <c r="A7" s="4">
        <v>1030</v>
      </c>
      <c r="B7" s="2">
        <v>2.5</v>
      </c>
    </row>
    <row r="8" spans="1:2" x14ac:dyDescent="0.25">
      <c r="A8" s="4">
        <v>1130</v>
      </c>
      <c r="B8" s="2">
        <v>26.5</v>
      </c>
    </row>
    <row r="9" spans="1:2" x14ac:dyDescent="0.25">
      <c r="A9" s="4">
        <v>1230</v>
      </c>
      <c r="B9" s="2">
        <v>31</v>
      </c>
    </row>
    <row r="10" spans="1:2" x14ac:dyDescent="0.25">
      <c r="A10" s="4" t="s">
        <v>68</v>
      </c>
      <c r="B10" s="2">
        <v>62</v>
      </c>
    </row>
    <row r="12" spans="1:2" x14ac:dyDescent="0.25">
      <c r="A12" t="s">
        <v>85</v>
      </c>
      <c r="B12">
        <v>4</v>
      </c>
    </row>
    <row r="13" spans="1:2" x14ac:dyDescent="0.25">
      <c r="A13" t="s">
        <v>75</v>
      </c>
      <c r="B13">
        <v>0.7</v>
      </c>
    </row>
    <row r="14" spans="1:2" x14ac:dyDescent="0.25">
      <c r="A14" t="s">
        <v>86</v>
      </c>
      <c r="B14">
        <f>B10/4/0.7</f>
        <v>22.142857142857146</v>
      </c>
    </row>
  </sheetData>
  <phoneticPr fontId="1" type="noConversion"/>
  <pageMargins left="0.75" right="0.75" top="1" bottom="1" header="0.5" footer="0.5"/>
  <pageSetup paperSize="9" orientation="portrait" r:id="rId2"/>
  <headerFooter alignWithMargins="0">
    <oddHeader>&amp;L&amp;G&amp;C&amp;F&amp;R文档密级</oddHeader>
    <oddFooter>&amp;L&amp;D&amp;C华为机密，未经许可不得扩散&amp;R第&amp;P页，共&amp;N页</oddFooter>
  </headerFooter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zoomScale="85" zoomScaleNormal="85" workbookViewId="0">
      <pane ySplit="1" topLeftCell="A2" activePane="bottomLeft" state="frozen"/>
      <selection activeCell="B1" sqref="B1"/>
      <selection pane="bottomLeft" activeCell="F4" sqref="F4"/>
    </sheetView>
  </sheetViews>
  <sheetFormatPr defaultRowHeight="14" x14ac:dyDescent="0.25"/>
  <cols>
    <col min="1" max="1" width="15.26953125" customWidth="1"/>
    <col min="2" max="2" width="57.54296875" customWidth="1"/>
    <col min="3" max="3" width="7.36328125" customWidth="1"/>
    <col min="4" max="4" width="8.1796875" customWidth="1"/>
    <col min="5" max="5" width="11.7265625" customWidth="1"/>
    <col min="6" max="6" width="14.26953125" style="1" customWidth="1"/>
    <col min="7" max="7" width="14.1796875" style="1" customWidth="1"/>
    <col min="8" max="8" width="53.90625" customWidth="1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60</v>
      </c>
      <c r="F1" s="5" t="s">
        <v>84</v>
      </c>
      <c r="G1" s="5" t="s">
        <v>4</v>
      </c>
      <c r="H1" s="6"/>
    </row>
    <row r="2" spans="1:8" ht="70" x14ac:dyDescent="0.25">
      <c r="A2" s="7" t="s">
        <v>5</v>
      </c>
      <c r="B2" s="8" t="s">
        <v>37</v>
      </c>
      <c r="C2" s="7" t="s">
        <v>6</v>
      </c>
      <c r="D2" s="7" t="s">
        <v>7</v>
      </c>
      <c r="E2" s="7">
        <v>2</v>
      </c>
      <c r="F2" s="9" t="s">
        <v>64</v>
      </c>
      <c r="G2" s="9">
        <v>1030</v>
      </c>
      <c r="H2" s="8"/>
    </row>
    <row r="3" spans="1:8" ht="28" x14ac:dyDescent="0.25">
      <c r="A3" s="7" t="s">
        <v>5</v>
      </c>
      <c r="B3" s="8" t="s">
        <v>38</v>
      </c>
      <c r="C3" s="7" t="s">
        <v>6</v>
      </c>
      <c r="D3" s="7" t="s">
        <v>8</v>
      </c>
      <c r="E3" s="7">
        <v>4</v>
      </c>
      <c r="F3" s="9" t="s">
        <v>64</v>
      </c>
      <c r="G3" s="9">
        <v>1130</v>
      </c>
      <c r="H3" s="8" t="s">
        <v>9</v>
      </c>
    </row>
    <row r="4" spans="1:8" ht="98" x14ac:dyDescent="0.25">
      <c r="A4" s="7" t="s">
        <v>5</v>
      </c>
      <c r="B4" s="8" t="s">
        <v>39</v>
      </c>
      <c r="C4" s="7" t="s">
        <v>10</v>
      </c>
      <c r="D4" s="7" t="s">
        <v>11</v>
      </c>
      <c r="E4" s="7">
        <v>9</v>
      </c>
      <c r="F4" s="9" t="s">
        <v>64</v>
      </c>
      <c r="G4" s="9">
        <v>1130</v>
      </c>
      <c r="H4" s="8"/>
    </row>
    <row r="5" spans="1:8" ht="28" x14ac:dyDescent="0.25">
      <c r="A5" s="10" t="s">
        <v>5</v>
      </c>
      <c r="B5" s="11" t="s">
        <v>40</v>
      </c>
      <c r="C5" s="10" t="s">
        <v>6</v>
      </c>
      <c r="D5" s="10" t="s">
        <v>7</v>
      </c>
      <c r="E5" s="10">
        <v>2</v>
      </c>
      <c r="F5" s="12"/>
      <c r="G5" s="12">
        <v>1030</v>
      </c>
      <c r="H5" s="11" t="s">
        <v>12</v>
      </c>
    </row>
    <row r="6" spans="1:8" ht="28" x14ac:dyDescent="0.25">
      <c r="A6" s="7" t="s">
        <v>5</v>
      </c>
      <c r="B6" s="7" t="s">
        <v>41</v>
      </c>
      <c r="C6" s="7" t="s">
        <v>13</v>
      </c>
      <c r="D6" s="7" t="s">
        <v>7</v>
      </c>
      <c r="E6" s="7">
        <v>2</v>
      </c>
      <c r="F6" s="9" t="s">
        <v>64</v>
      </c>
      <c r="G6" s="9">
        <v>930</v>
      </c>
      <c r="H6" s="8" t="s">
        <v>43</v>
      </c>
    </row>
    <row r="7" spans="1:8" ht="42" x14ac:dyDescent="0.25">
      <c r="A7" s="7" t="s">
        <v>5</v>
      </c>
      <c r="B7" s="7" t="s">
        <v>42</v>
      </c>
      <c r="C7" s="7" t="s">
        <v>10</v>
      </c>
      <c r="D7" s="7" t="s">
        <v>65</v>
      </c>
      <c r="E7" s="14">
        <v>10</v>
      </c>
      <c r="F7" s="9" t="s">
        <v>64</v>
      </c>
      <c r="G7" s="9">
        <v>1230</v>
      </c>
      <c r="H7" s="8" t="s">
        <v>44</v>
      </c>
    </row>
    <row r="8" spans="1:8" x14ac:dyDescent="0.25">
      <c r="A8" s="10" t="s">
        <v>14</v>
      </c>
      <c r="B8" s="10" t="s">
        <v>47</v>
      </c>
      <c r="C8" s="10" t="s">
        <v>6</v>
      </c>
      <c r="D8" s="10" t="s">
        <v>15</v>
      </c>
      <c r="E8" s="10">
        <v>3</v>
      </c>
      <c r="F8" s="12"/>
      <c r="G8" s="12">
        <v>1130</v>
      </c>
      <c r="H8" s="11" t="s">
        <v>16</v>
      </c>
    </row>
    <row r="9" spans="1:8" ht="34.5" customHeight="1" x14ac:dyDescent="0.25">
      <c r="A9" s="7" t="s">
        <v>72</v>
      </c>
      <c r="B9" s="7" t="s">
        <v>45</v>
      </c>
      <c r="C9" s="7" t="s">
        <v>6</v>
      </c>
      <c r="D9" s="7" t="s">
        <v>65</v>
      </c>
      <c r="E9" s="14">
        <v>10</v>
      </c>
      <c r="F9" s="9" t="s">
        <v>64</v>
      </c>
      <c r="G9" s="9">
        <v>1130</v>
      </c>
      <c r="H9" s="8" t="s">
        <v>71</v>
      </c>
    </row>
    <row r="10" spans="1:8" ht="33.5" customHeight="1" x14ac:dyDescent="0.25">
      <c r="A10" s="7" t="s">
        <v>72</v>
      </c>
      <c r="B10" s="7" t="s">
        <v>46</v>
      </c>
      <c r="C10" s="7" t="s">
        <v>6</v>
      </c>
      <c r="D10" s="7" t="s">
        <v>17</v>
      </c>
      <c r="E10" s="7">
        <v>2.5</v>
      </c>
      <c r="F10" s="9" t="s">
        <v>64</v>
      </c>
      <c r="G10" s="9">
        <v>1130</v>
      </c>
      <c r="H10" s="8" t="s">
        <v>18</v>
      </c>
    </row>
    <row r="11" spans="1:8" ht="56" x14ac:dyDescent="0.25">
      <c r="A11" s="7" t="s">
        <v>72</v>
      </c>
      <c r="B11" s="8" t="s">
        <v>48</v>
      </c>
      <c r="C11" s="7" t="s">
        <v>6</v>
      </c>
      <c r="D11" s="7" t="s">
        <v>19</v>
      </c>
      <c r="E11" s="7">
        <v>1</v>
      </c>
      <c r="F11" s="9" t="s">
        <v>64</v>
      </c>
      <c r="G11" s="9">
        <v>1130</v>
      </c>
      <c r="H11" s="8" t="s">
        <v>20</v>
      </c>
    </row>
    <row r="12" spans="1:8" ht="56" x14ac:dyDescent="0.25">
      <c r="A12" s="7" t="s">
        <v>72</v>
      </c>
      <c r="B12" s="8" t="s">
        <v>49</v>
      </c>
      <c r="C12" s="7" t="s">
        <v>13</v>
      </c>
      <c r="D12" s="7" t="s">
        <v>21</v>
      </c>
      <c r="E12" s="7">
        <v>0.5</v>
      </c>
      <c r="F12" s="9" t="s">
        <v>64</v>
      </c>
      <c r="G12" s="9">
        <v>1030</v>
      </c>
      <c r="H12" s="8" t="s">
        <v>22</v>
      </c>
    </row>
    <row r="13" spans="1:8" ht="29" customHeight="1" x14ac:dyDescent="0.25">
      <c r="A13" s="7" t="s">
        <v>73</v>
      </c>
      <c r="B13" s="7" t="s">
        <v>50</v>
      </c>
      <c r="C13" s="7" t="s">
        <v>10</v>
      </c>
      <c r="D13" s="7" t="s">
        <v>23</v>
      </c>
      <c r="E13" s="7">
        <v>6</v>
      </c>
      <c r="F13" s="13"/>
      <c r="G13" s="9">
        <v>1130</v>
      </c>
      <c r="H13" s="8" t="s">
        <v>61</v>
      </c>
    </row>
    <row r="14" spans="1:8" ht="53" customHeight="1" x14ac:dyDescent="0.25">
      <c r="A14" s="7" t="s">
        <v>73</v>
      </c>
      <c r="B14" s="7" t="s">
        <v>51</v>
      </c>
      <c r="C14" s="7" t="s">
        <v>6</v>
      </c>
      <c r="D14" s="7" t="s">
        <v>11</v>
      </c>
      <c r="E14" s="7">
        <v>9</v>
      </c>
      <c r="F14" s="13"/>
      <c r="G14" s="9">
        <v>1030</v>
      </c>
      <c r="H14" s="8" t="s">
        <v>24</v>
      </c>
    </row>
    <row r="15" spans="1:8" ht="31" customHeight="1" x14ac:dyDescent="0.25">
      <c r="A15" s="7" t="s">
        <v>73</v>
      </c>
      <c r="B15" s="7" t="s">
        <v>52</v>
      </c>
      <c r="C15" s="7" t="s">
        <v>10</v>
      </c>
      <c r="D15" s="7" t="s">
        <v>23</v>
      </c>
      <c r="E15" s="7">
        <v>6</v>
      </c>
      <c r="F15" s="13"/>
      <c r="G15" s="9">
        <v>1230</v>
      </c>
      <c r="H15" s="8" t="s">
        <v>25</v>
      </c>
    </row>
    <row r="16" spans="1:8" ht="22" customHeight="1" x14ac:dyDescent="0.25">
      <c r="A16" s="7" t="s">
        <v>73</v>
      </c>
      <c r="B16" s="7" t="s">
        <v>80</v>
      </c>
      <c r="C16" s="7" t="s">
        <v>13</v>
      </c>
      <c r="D16" s="7" t="s">
        <v>15</v>
      </c>
      <c r="E16" s="7">
        <v>3</v>
      </c>
      <c r="F16" s="13"/>
      <c r="G16" s="9">
        <v>1130</v>
      </c>
      <c r="H16" s="8" t="s">
        <v>26</v>
      </c>
    </row>
    <row r="17" spans="1:8" ht="29.5" customHeight="1" x14ac:dyDescent="0.25">
      <c r="A17" s="7" t="s">
        <v>73</v>
      </c>
      <c r="B17" s="7" t="s">
        <v>81</v>
      </c>
      <c r="C17" s="7" t="s">
        <v>6</v>
      </c>
      <c r="D17" s="7" t="s">
        <v>15</v>
      </c>
      <c r="E17" s="7">
        <v>3</v>
      </c>
      <c r="F17" s="13"/>
      <c r="G17" s="9">
        <v>1230</v>
      </c>
      <c r="H17" s="8" t="s">
        <v>27</v>
      </c>
    </row>
    <row r="18" spans="1:8" ht="38.5" customHeight="1" x14ac:dyDescent="0.25">
      <c r="A18" s="7" t="s">
        <v>28</v>
      </c>
      <c r="B18" s="7" t="s">
        <v>82</v>
      </c>
      <c r="C18" s="7" t="s">
        <v>10</v>
      </c>
      <c r="D18" s="7" t="s">
        <v>23</v>
      </c>
      <c r="E18" s="7">
        <v>6</v>
      </c>
      <c r="F18" s="13"/>
      <c r="G18" s="9">
        <v>1230</v>
      </c>
      <c r="H18" s="8" t="s">
        <v>29</v>
      </c>
    </row>
    <row r="19" spans="1:8" ht="33" customHeight="1" x14ac:dyDescent="0.25">
      <c r="A19" s="7" t="s">
        <v>28</v>
      </c>
      <c r="B19" s="7" t="s">
        <v>30</v>
      </c>
      <c r="C19" s="7" t="s">
        <v>10</v>
      </c>
      <c r="D19" s="7" t="s">
        <v>23</v>
      </c>
      <c r="E19" s="7">
        <v>6</v>
      </c>
      <c r="F19" s="13"/>
      <c r="G19" s="9">
        <v>1230</v>
      </c>
      <c r="H19" s="8" t="s">
        <v>31</v>
      </c>
    </row>
    <row r="20" spans="1:8" ht="40" customHeight="1" x14ac:dyDescent="0.25">
      <c r="A20" s="7" t="s">
        <v>28</v>
      </c>
      <c r="B20" s="7" t="s">
        <v>70</v>
      </c>
      <c r="C20" s="7" t="s">
        <v>10</v>
      </c>
      <c r="D20" s="7" t="s">
        <v>15</v>
      </c>
      <c r="E20" s="7">
        <v>3</v>
      </c>
      <c r="F20" s="9" t="s">
        <v>64</v>
      </c>
      <c r="G20" s="9">
        <v>1230</v>
      </c>
      <c r="H20" s="8" t="s">
        <v>62</v>
      </c>
    </row>
    <row r="21" spans="1:8" ht="84" x14ac:dyDescent="0.25">
      <c r="A21" s="7" t="s">
        <v>28</v>
      </c>
      <c r="B21" s="7" t="s">
        <v>53</v>
      </c>
      <c r="C21" s="7" t="s">
        <v>10</v>
      </c>
      <c r="D21" s="7" t="s">
        <v>23</v>
      </c>
      <c r="E21" s="7">
        <v>6</v>
      </c>
      <c r="F21" s="9" t="s">
        <v>64</v>
      </c>
      <c r="G21" s="9">
        <v>1230</v>
      </c>
      <c r="H21" s="8" t="s">
        <v>54</v>
      </c>
    </row>
    <row r="22" spans="1:8" ht="28" x14ac:dyDescent="0.25">
      <c r="A22" s="7" t="s">
        <v>28</v>
      </c>
      <c r="B22" s="7" t="s">
        <v>76</v>
      </c>
      <c r="C22" s="7" t="s">
        <v>10</v>
      </c>
      <c r="D22" s="7" t="s">
        <v>15</v>
      </c>
      <c r="E22" s="7">
        <v>3</v>
      </c>
      <c r="F22" s="9" t="s">
        <v>64</v>
      </c>
      <c r="G22" s="9">
        <v>1230</v>
      </c>
      <c r="H22" s="8" t="s">
        <v>55</v>
      </c>
    </row>
    <row r="23" spans="1:8" ht="28" x14ac:dyDescent="0.25">
      <c r="A23" s="7" t="s">
        <v>28</v>
      </c>
      <c r="B23" s="7" t="s">
        <v>77</v>
      </c>
      <c r="C23" s="7" t="s">
        <v>10</v>
      </c>
      <c r="D23" s="7" t="s">
        <v>15</v>
      </c>
      <c r="E23" s="7">
        <v>3</v>
      </c>
      <c r="F23" s="9" t="s">
        <v>64</v>
      </c>
      <c r="G23" s="9">
        <v>1230</v>
      </c>
      <c r="H23" s="8" t="s">
        <v>56</v>
      </c>
    </row>
    <row r="24" spans="1:8" ht="28" x14ac:dyDescent="0.25">
      <c r="A24" s="7" t="s">
        <v>28</v>
      </c>
      <c r="B24" s="7" t="s">
        <v>32</v>
      </c>
      <c r="C24" s="7" t="s">
        <v>10</v>
      </c>
      <c r="D24" s="7" t="s">
        <v>15</v>
      </c>
      <c r="E24" s="7">
        <v>3</v>
      </c>
      <c r="F24" s="13"/>
      <c r="G24" s="9">
        <v>1230</v>
      </c>
      <c r="H24" s="8" t="s">
        <v>57</v>
      </c>
    </row>
    <row r="25" spans="1:8" ht="28" x14ac:dyDescent="0.25">
      <c r="A25" s="7" t="s">
        <v>28</v>
      </c>
      <c r="B25" s="7" t="s">
        <v>78</v>
      </c>
      <c r="C25" s="7" t="s">
        <v>10</v>
      </c>
      <c r="D25" s="7" t="s">
        <v>15</v>
      </c>
      <c r="E25" s="7">
        <v>3</v>
      </c>
      <c r="F25" s="9" t="s">
        <v>64</v>
      </c>
      <c r="G25" s="9">
        <v>1230</v>
      </c>
      <c r="H25" s="8" t="s">
        <v>58</v>
      </c>
    </row>
    <row r="26" spans="1:8" ht="42" x14ac:dyDescent="0.25">
      <c r="A26" s="7" t="s">
        <v>28</v>
      </c>
      <c r="B26" s="7" t="s">
        <v>79</v>
      </c>
      <c r="C26" s="7" t="s">
        <v>10</v>
      </c>
      <c r="D26" s="7" t="s">
        <v>15</v>
      </c>
      <c r="E26" s="7">
        <v>3</v>
      </c>
      <c r="F26" s="9" t="s">
        <v>64</v>
      </c>
      <c r="G26" s="9">
        <v>1230</v>
      </c>
      <c r="H26" s="8" t="s">
        <v>59</v>
      </c>
    </row>
    <row r="27" spans="1:8" ht="23" customHeight="1" x14ac:dyDescent="0.25">
      <c r="A27" s="7" t="s">
        <v>28</v>
      </c>
      <c r="B27" s="7" t="s">
        <v>33</v>
      </c>
      <c r="C27" s="7" t="s">
        <v>6</v>
      </c>
      <c r="D27" s="7" t="s">
        <v>15</v>
      </c>
      <c r="E27" s="7">
        <v>3</v>
      </c>
      <c r="F27" s="13"/>
      <c r="G27" s="9">
        <v>1230</v>
      </c>
      <c r="H27" s="8" t="s">
        <v>34</v>
      </c>
    </row>
    <row r="28" spans="1:8" ht="55.5" customHeight="1" x14ac:dyDescent="0.25">
      <c r="A28" s="7" t="s">
        <v>28</v>
      </c>
      <c r="B28" s="7" t="s">
        <v>35</v>
      </c>
      <c r="C28" s="7" t="s">
        <v>6</v>
      </c>
      <c r="D28" s="7" t="s">
        <v>15</v>
      </c>
      <c r="E28" s="7">
        <v>3</v>
      </c>
      <c r="F28" s="13"/>
      <c r="G28" s="9">
        <v>1230</v>
      </c>
      <c r="H28" s="8" t="s">
        <v>74</v>
      </c>
    </row>
    <row r="29" spans="1:8" ht="22" customHeight="1" x14ac:dyDescent="0.25">
      <c r="A29" s="7" t="s">
        <v>28</v>
      </c>
      <c r="B29" s="7" t="s">
        <v>69</v>
      </c>
      <c r="C29" s="7" t="s">
        <v>6</v>
      </c>
      <c r="D29" s="7" t="s">
        <v>23</v>
      </c>
      <c r="E29" s="7">
        <v>6</v>
      </c>
      <c r="F29" s="13"/>
      <c r="G29" s="9">
        <v>1230</v>
      </c>
      <c r="H29" s="8" t="s">
        <v>36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统计</vt:lpstr>
      <vt:lpstr>需求规划</vt:lpstr>
      <vt:lpstr>Sheet3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Jishuangfeng (Jimmy)</dc:creator>
  <cp:lastModifiedBy>yuanxinzhuo</cp:lastModifiedBy>
  <cp:lastPrinted>2006-01-19T03:50:08Z</cp:lastPrinted>
  <dcterms:created xsi:type="dcterms:W3CDTF">2003-11-11T03:59:45Z</dcterms:created>
  <dcterms:modified xsi:type="dcterms:W3CDTF">2026-09-03T09:28:14Z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