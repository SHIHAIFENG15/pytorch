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120" yWindow="15" windowWidth="14985" windowHeight="8580" activeTab="1"/>
  </bookViews>
  <sheets>
    <sheet name="统计" sheetId="2" r:id="rId1"/>
    <sheet name="需求规划" sheetId="1" r:id="rId2"/>
    <sheet name="Sheet3" sheetId="3" r:id="rId3"/>
  </sheets>
  <definedNames>
    <definedName name="_xlnm._FilterDatabase" localSheetId="1" hidden="1">需求规划!$A$1:$K$29</definedName>
  </definedNames>
  <calcPr calcId="144525"/>
  <pivotCaches>
    <pivotCache cacheId="0" r:id="rId5"/>
  </pivotCaches>
</workbook>
</file>

<file path=xl/sharedStrings.xml><?xml version="1.0" encoding="utf-8"?>
<sst xmlns="http://schemas.openxmlformats.org/spreadsheetml/2006/main" count="208" uniqueCount="94">
  <si>
    <t>初步分工</t>
  </si>
  <si>
    <t>小巧灵</t>
  </si>
  <si>
    <t>行标签</t>
  </si>
  <si>
    <t>求和项:工作量</t>
  </si>
  <si>
    <t>总计</t>
  </si>
  <si>
    <t>剩余月数</t>
  </si>
  <si>
    <t>人力系数</t>
  </si>
  <si>
    <t>投入人力</t>
  </si>
  <si>
    <t>模块</t>
  </si>
  <si>
    <t>需求描述</t>
  </si>
  <si>
    <t>难度</t>
  </si>
  <si>
    <t>工作量（人月）</t>
  </si>
  <si>
    <t>工作量</t>
  </si>
  <si>
    <t>期望交付时间</t>
  </si>
  <si>
    <t>备注</t>
  </si>
  <si>
    <t>产品线SE</t>
  </si>
  <si>
    <t>小巧灵SE</t>
  </si>
  <si>
    <t>人数</t>
  </si>
  <si>
    <t>分布式</t>
  </si>
  <si>
    <t>ProcessGroup特性社区版本跟随
1、shutdown阶段支持aborted状态
2、collective、collectiveCoalesced和pointToPoint里coalesce逻辑差异
3、barrier接口中获取device_id逻辑差异</t>
  </si>
  <si>
    <t>中</t>
  </si>
  <si>
    <t>2人月</t>
  </si>
  <si>
    <t>王嘉霖</t>
  </si>
  <si>
    <t>对称内存特性，对齐社区symm_mem相关接口</t>
  </si>
  <si>
    <t>4人月</t>
  </si>
  <si>
    <t>对齐社区10+接口，基于cann/shmem库在torch_npu中开发对称内存相关接口</t>
  </si>
  <si>
    <t>torchtitan社区新增特性适配
1、图优化pass：  3人月
2、整图优化：3人月
torchtitan适配GraphTrainer关键特性
3、混合并行能力入图：3人月
支持SimpleFSDP入图组合TP/CP/EP/GraphPP多种混合并行、混合精度训练、激活重算</t>
  </si>
  <si>
    <t>难</t>
  </si>
  <si>
    <t>9人月</t>
  </si>
  <si>
    <t>产品线</t>
  </si>
  <si>
    <t>社区PR分析与适配</t>
  </si>
  <si>
    <t>社区2.13，2.14新版本相关PR分析，识别PTA需要适配的特性，以及agent能力优化（特性层面梳理未对齐点）</t>
  </si>
  <si>
    <t>torchcomms通信库通信API补齐</t>
  </si>
  <si>
    <t>易</t>
  </si>
  <si>
    <t>和CANN相关，但均已完备。待补充API数量（10+）和对应的人力（2人投1月）</t>
  </si>
  <si>
    <t>torchcomms通信加速特性适配</t>
  </si>
  <si>
    <t>/</t>
  </si>
  <si>
    <t>torchcomms中ncclx是meta自研通信框架，分析其中新特性，并结合昇腾hccl识别优化点（930前做方案设计和需求规划，1030前投入开发）</t>
  </si>
  <si>
    <t>Core</t>
  </si>
  <si>
    <t>自定义算子仓解耦</t>
  </si>
  <si>
    <t>3人月</t>
  </si>
  <si>
    <t>不建议-架构相关</t>
  </si>
  <si>
    <t>Core-API</t>
  </si>
  <si>
    <t>原生社区新版本API能力跟随</t>
  </si>
  <si>
    <t>（计算类数量（20左右）、工作量、依赖CANN的API梳理）</t>
  </si>
  <si>
    <t>程鹏</t>
  </si>
  <si>
    <t>Fallback CPU计算类API昇腾亲和使能</t>
  </si>
  <si>
    <t>2.5人月</t>
  </si>
  <si>
    <t>计算类数量（10左右）、工作量梳理，cann已支持）</t>
  </si>
  <si>
    <t xml:space="preserve">适配torch.nn.TransformerEncoder和torch.nn.TransformerDecoder（客户诉求）
</t>
  </si>
  <si>
    <t>1人月</t>
  </si>
  <si>
    <t>在功能与原生API完全兼容的前提下，适配TransformerEncoder和TransformerDecoder在NPU上的实现。可通过分解小算子拼接实现。
精度满足要求，有使用约束的情况下说明使用限制。</t>
  </si>
  <si>
    <t>torch.nn.functional.rms_norm在高版本适配融合算子（性能优化）</t>
  </si>
  <si>
    <t>0.5人月</t>
  </si>
  <si>
    <t>torch.nn.functional.rms_norm在pytorch的高版本中已接入融合算子，当前pta中未接入融合算子，需求和社区调用路径保持一致。
精度满足要求，性能相比小算子拼接版本有提升。</t>
  </si>
  <si>
    <t>Core-torchao</t>
  </si>
  <si>
    <t>torchao_npu社区图模式支持</t>
  </si>
  <si>
    <t>6人月</t>
  </si>
  <si>
    <t>支持torch.compile入图兼容，包括wrap tensor能力（融合大算子入图由海思主导）</t>
  </si>
  <si>
    <t>王立君</t>
  </si>
  <si>
    <t>torchao_npu社区训练场景支持</t>
  </si>
  <si>
    <t>支持低精预训练、QAT SFT、PTQ SFT等基本训练场景，部分训练场景已具备，需补齐能力矩阵</t>
  </si>
  <si>
    <t>torchao_npu社区低精数据类型支持</t>
  </si>
  <si>
    <t>支持FP8/MXFP8/HIFP8，进一步支持MXFP4/HIFP4，对比高精做到精度损失低于？</t>
  </si>
  <si>
    <t>torchao_npu社区易用性提升</t>
  </si>
  <si>
    <t>包括整体能力看护、多框架适配和DFx能力</t>
  </si>
  <si>
    <t>torchao社区贡献</t>
  </si>
  <si>
    <t>参与社区共建，提升社区易用性，完成硬件解耦</t>
  </si>
  <si>
    <t>图模式</t>
  </si>
  <si>
    <t>inductor社区 bitwise 数值对齐（小巧灵SE投入）</t>
  </si>
  <si>
    <t>在明确支持的算子、dtype、Shape 和硬件范围内，实现bitwise精度一致性
--图模式开发基础</t>
  </si>
  <si>
    <t>陈睿敏</t>
  </si>
  <si>
    <t>inductor cube类算子核心计算模板</t>
  </si>
  <si>
    <t>建立npu inductor独立拥有的高性能模板体系，优先解决模型中占比最高的矩阵计算。</t>
  </si>
  <si>
    <t>inductor Reduction融合专项</t>
  </si>
  <si>
    <t>减少中间 Tensor 写回和 kernel launch，同时控制 UB、索引复杂度和编译时间。</t>
  </si>
  <si>
    <t>inductor Host-bound 执行与部署性能优化（小巧灵SE投入）</t>
  </si>
  <si>
    <t>不少真实模型并非完全 device bound：小 kernel 多、动态 Shape、多次 Python/C++ 边界切换时，
host 侧的 Python 调用、参数封装、调度计算和 kernel launch 会掩盖设备端优化收益。本方向的目标
是让 compiled 模型以低开销的原生执行形式交付，降低端到端延迟。</t>
  </si>
  <si>
    <t>ComboKernel 与小算子批处理</t>
  </si>
  <si>
    <t>降低碎片化图中大量小 pointwise kernel 的 host launch 开销；它是 Host-bound 主线在复杂图上的
进一步优化，不替代 C++ Wrapper/AOTI 的基础交付能力。</t>
  </si>
  <si>
    <t>通用 Autotune</t>
  </si>
  <si>
    <t>让 pointwise、Reduction、MM/BMM 和后续模板根据 Shape、dtype 和硬件自动选择配置。</t>
  </si>
  <si>
    <t>动态 Shape 与设备调度</t>
  </si>
  <si>
    <t>同一个编译产物覆盖多个合法 Shape，并确保 A2/A3/A5 的 kernel 与 launcher 语义一致。</t>
  </si>
  <si>
    <t>Transformer 复合优化</t>
  </si>
  <si>
    <t>在通用模板、融合和 Reduction 稳定后，集中优化实际模型热点。</t>
  </si>
  <si>
    <t>训练专属特性</t>
  </si>
  <si>
    <t>补齐训练场景中的 RNG、deterministic、saved tensor、lazy backward 和 checkpoint 语义。</t>
  </si>
  <si>
    <t>可观测性和工程体系</t>
  </si>
  <si>
    <t>支撑后续优化从“人工猜测”转向“数据驱动”。</t>
  </si>
  <si>
    <t>运行时安全增强</t>
  </si>
  <si>
    <t>Python/C++ wrapper 的 size、stride、alignment、device 和 dtype 断言；间接索引越界诊断；i64/fp64 downcast 范围证明；NaN/Inf debug 插桩；更明确的 ABI 和错误信息。</t>
  </si>
  <si>
    <t>benchmarks模型看护支持（小巧灵SE投入）</t>
  </si>
  <si>
    <t>图模式benchmarks模型对齐社区，加入日常看护流水
--项目应用会比较多</t>
  </si>
</sst>
</file>

<file path=xl/styles.xml><?xml version="1.0" encoding="utf-8"?>
<styleSheet xmlns="http://schemas.openxmlformats.org/spreadsheetml/2006/main">
  <numFmts count="37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#\ ??/??"/>
    <numFmt numFmtId="179" formatCode="mmmm\-yy"/>
    <numFmt numFmtId="5" formatCode="&quot;￥&quot;#,##0;&quot;￥&quot;\-#,##0"/>
    <numFmt numFmtId="24" formatCode="\$#,##0_);[Red]\(\$#,##0\)"/>
    <numFmt numFmtId="7" formatCode="&quot;￥&quot;#,##0.00;&quot;￥&quot;\-#,##0.00"/>
    <numFmt numFmtId="180" formatCode="#\ ?/?"/>
    <numFmt numFmtId="23" formatCode="\$#,##0_);\(\$#,##0\)"/>
    <numFmt numFmtId="181" formatCode="yy/m/d"/>
    <numFmt numFmtId="25" formatCode="\$#,##0.00_);\(\$#,##0.00\)"/>
    <numFmt numFmtId="182" formatCode="[DBNum1][$-804]yyyy&quot;年&quot;m&quot;月&quot;d&quot;日&quot;"/>
    <numFmt numFmtId="183" formatCode="[DBNum1]上午/下午h&quot;时&quot;mm&quot;分&quot;"/>
    <numFmt numFmtId="8" formatCode="&quot;￥&quot;#,##0.00;[Red]&quot;￥&quot;\-#,##0.00"/>
    <numFmt numFmtId="184" formatCode="yyyy/m/d\ h:mm\ AM/PM"/>
    <numFmt numFmtId="185" formatCode="dd\-mmm\-yy"/>
    <numFmt numFmtId="186" formatCode="mmmmm\-yy"/>
    <numFmt numFmtId="187" formatCode="h:mm:ss\ AM/PM"/>
    <numFmt numFmtId="188" formatCode="mmmmm"/>
    <numFmt numFmtId="189" formatCode="[DBNum1]h&quot;时&quot;mm&quot;分&quot;"/>
    <numFmt numFmtId="44" formatCode="_ &quot;￥&quot;* #,##0.00_ ;_ &quot;￥&quot;* \-#,##0.00_ ;_ &quot;￥&quot;* &quot;-&quot;??_ ;_ @_ "/>
    <numFmt numFmtId="190" formatCode="[$-804]aaaa"/>
    <numFmt numFmtId="191" formatCode="\¥#,##0;\¥\-#,##0"/>
    <numFmt numFmtId="192" formatCode="\¥#,##0;[Red]\¥\-#,##0"/>
    <numFmt numFmtId="193" formatCode="[DBNum1][$-804]m&quot;月&quot;d&quot;日&quot;"/>
    <numFmt numFmtId="194" formatCode="\¥#,##0.00;\¥\-#,##0.00"/>
    <numFmt numFmtId="195" formatCode="#\ ??"/>
    <numFmt numFmtId="196" formatCode="m/d"/>
    <numFmt numFmtId="197" formatCode="h:mm\ AM/PM"/>
    <numFmt numFmtId="198" formatCode="0.00_ "/>
    <numFmt numFmtId="41" formatCode="_ * #,##0_ ;_ * \-#,##0_ ;_ * &quot;-&quot;_ ;_ @_ "/>
    <numFmt numFmtId="26" formatCode="\$#,##0.00_);[Red]\(\$#,##0.00\)"/>
    <numFmt numFmtId="199" formatCode="[$-804]aaa"/>
    <numFmt numFmtId="42" formatCode="_ &quot;￥&quot;* #,##0_ ;_ &quot;￥&quot;* \-#,##0_ ;_ &quot;￥&quot;* &quot;-&quot;_ ;_ @_ "/>
    <numFmt numFmtId="43" formatCode="_ * #,##0.00_ ;_ * \-#,##0.00_ ;_ * &quot;-&quot;??_ ;_ @_ "/>
    <numFmt numFmtId="200" formatCode="mm/dd/yy"/>
  </numFmts>
  <fonts count="23">
    <font>
      <sz val="11"/>
      <name val="宋体"/>
      <charset val="134"/>
    </font>
    <font>
      <b/>
      <sz val="11"/>
      <color rgb="FF000000"/>
      <name val="等线"/>
      <charset val="134"/>
    </font>
    <font>
      <sz val="11"/>
      <color rgb="FF000000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>
      <alignment vertical="center"/>
    </xf>
    <xf numFmtId="0" fontId="7" fillId="33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20" fillId="28" borderId="14" applyNumberFormat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2" fillId="10" borderId="14" applyNumberForma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4" fillId="12" borderId="11" applyNumberFormat="0" applyAlignment="0" applyProtection="0">
      <alignment vertical="center"/>
    </xf>
    <xf numFmtId="0" fontId="12" fillId="10" borderId="10" applyNumberFormat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8" borderId="9" applyNumberFormat="0" applyFon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5" fillId="0" borderId="8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3" fillId="0" borderId="7" applyNumberFormat="0" applyFill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3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2.xml"/><Relationship Id="rId8" Type="http://schemas.openxmlformats.org/officeDocument/2006/relationships/customXml" Target="../customXml/item1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customXml" Target="../customXml/item3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2.3852546296" refreshedBy="Unknown User" recordCount="28">
  <cacheSource type="worksheet">
    <worksheetSource ref="A1:K29" sheet="需求规划"/>
  </cacheSource>
  <cacheFields count="11">
    <cacheField name="模块" numFmtId="0">
      <sharedItems count="5">
        <s v="分布式"/>
        <s v="Core"/>
        <s v="Core-API"/>
        <s v="Core-torchao"/>
        <s v="图模式"/>
      </sharedItems>
    </cacheField>
    <cacheField name="需求描述" numFmtId="0">
      <sharedItems count="28">
        <s v="ProcessGroup特性社区版本跟随_x000a_1、shutdown阶段支持aborted状态_x000a_2、collective、collectiveCoalesced和pointToPoint里coalesce逻辑差异_x000a_3、barrier接口中获取device_id逻辑差异"/>
        <s v="对称内存特性，对齐社区symm_mem相关接口"/>
        <s v="torchtitan社区新增特性适配_x000a_1、图优化pass：  3人月_x000a_2、整图优化：3人月_x000a_torchtitan适配GraphTrainer关键特性_x000a_3、混合并行能力入图：3人月_x000a_支持SimpleFSDP入图组合TP/CP/EP/GraphPP多种混合并行、混合精度训练、激活重算"/>
        <s v="社区PR分析与适配"/>
        <s v="torchcomms通信库通信API补齐"/>
        <s v="torchcomms通信加速特性适配"/>
        <s v="自定义算子仓解耦"/>
        <s v="原生社区新版本API能力跟随"/>
        <s v="Fallback CPU计算类API昇腾亲和使能"/>
        <s v="适配torch.nn.TransformerEncoder和torch.nn.TransformerDecoder（客户诉求）_x000a_"/>
        <s v="torch.nn.functional.rms_norm在高版本适配融合算子（性能优化）"/>
        <s v="torchao_npu社区图模式支持"/>
        <s v="torchao_npu社区训练场景支持"/>
        <s v="torchao_npu社区低精数据类型支持"/>
        <s v="torchao_npu社区易用性提升"/>
        <s v="torchao社区贡献"/>
        <s v="inductor社区 bitwise 数值对齐（小巧灵SE投入）"/>
        <s v="inductor cube类算子核心计算模板"/>
        <s v="inductor Reduction融合专项"/>
        <s v="inductor Host-bound 执行与部署性能优化（小巧灵SE投入）"/>
        <s v="ComboKernel 与小算子批处理"/>
        <s v="通用 Autotune"/>
        <s v="动态 Shape 与设备调度"/>
        <s v="Transformer 复合优化"/>
        <s v="训练专属特性"/>
        <s v="可观测性和工程体系"/>
        <s v="运行时安全增强"/>
        <s v="benchmarks模型看护支持（小巧灵SE投入）"/>
      </sharedItems>
    </cacheField>
    <cacheField name="难度" numFmtId="0">
      <sharedItems count="3">
        <s v="中"/>
        <s v="难"/>
        <s v="易"/>
      </sharedItems>
    </cacheField>
    <cacheField name="工作量（人月）" numFmtId="0">
      <sharedItems count="9">
        <s v="2人月"/>
        <s v="4人月"/>
        <s v="9人月"/>
        <s v="/"/>
        <s v="3人月"/>
        <s v="2.5人月"/>
        <s v="1人月"/>
        <s v="0.5人月"/>
        <s v="6人月"/>
      </sharedItems>
    </cacheField>
    <cacheField name="工作量" numFmtId="0">
      <sharedItems containsSemiMixedTypes="0" containsString="0" containsNumber="1" minValue="0.5" maxValue="10" count="10">
        <n v="2"/>
        <n v="4"/>
        <n v="9"/>
        <n v="5"/>
        <n v="3"/>
        <n v="10"/>
        <n v="2.5"/>
        <n v="1"/>
        <n v="0.5"/>
        <n v="6"/>
      </sharedItems>
    </cacheField>
    <cacheField name="初步分工" numFmtId="0">
      <sharedItems containsBlank="1" count="3">
        <s v="小巧灵"/>
        <s v="产品线"/>
        <m/>
      </sharedItems>
    </cacheField>
    <cacheField name="期望交付时间" numFmtId="0">
      <sharedItems containsSemiMixedTypes="0" containsString="0" containsNumber="1" containsInteger="1" minValue="930" maxValue="1230" count="4">
        <n v="1030"/>
        <n v="1130"/>
        <n v="930"/>
        <n v="1230"/>
      </sharedItems>
    </cacheField>
    <cacheField name="备注" numFmtId="0">
      <sharedItems containsBlank="1" count="27">
        <m/>
        <s v="对齐社区10+接口，基于cann/shmem库在torch_npu中开发对称内存相关接口"/>
        <s v="社区2.13，2.14新版本相关PR分析，识别PTA需要适配的特性，以及agent能力优化（特性层面梳理未对齐点）"/>
        <s v="和CANN相关，但均已完备。待补充API数量（10+）和对应的人力（2人投1月）"/>
        <s v="torchcomms中ncclx是meta自研通信框架，分析其中新特性，并结合昇腾hccl识别优化点（930前做方案设计和需求规划，1030前投入开发）"/>
        <s v="不建议-架构相关"/>
        <s v="（计算类数量（20左右）、工作量、依赖CANN的API梳理）"/>
        <s v="计算类数量（10左右）、工作量梳理，cann已支持）"/>
        <s v="在功能与原生API完全兼容的前提下，适配TransformerEncoder和TransformerDecoder在NPU上的实现。可通过分解小算子拼接实现。_x000a_精度满足要求，有使用约束的情况下说明使用限制。"/>
        <s v="torch.nn.functional.rms_norm在pytorch的高版本中已接入融合算子，当前pta中未接入融合算子，需求和社区调用路径保持一致。_x000a_精度满足要求，性能相比小算子拼接版本有提升。"/>
        <s v="支持torch.compile入图兼容，包括wrap tensor能力（融合大算子入图由海思主导）"/>
        <s v="支持低精预训练、QAT SFT、PTQ SFT等基本训练场景，部分训练场景已具备，需补齐能力矩阵"/>
        <s v="支持FP8/MXFP8/HIFP8，进一步支持MXFP4/HIFP4，对比高精做到精度损失低于？"/>
        <s v="包括整体能力看护、多框架适配和DFx能力"/>
        <s v="参与社区共建，提升社区易用性，完成硬件解耦"/>
        <s v="在明确支持的算子、dtype、Shape 和硬件范围内，实现bitwise精度一致性_x000a_--图模式开发基础"/>
        <s v="建立npu inductor独立拥有的高性能模板体系，优先解决模型中占比最高的矩阵计算。"/>
        <s v="减少中间 Tensor 写回和 kernel launch，同时控制 UB、索引复杂度和编译时间。"/>
        <s v="不少真实模型并非完全 device bound：小 kernel 多、动态 Shape、多次 Python/C++ 边界切换时，_x000a_host 侧的 Python 调用、参数封装、调度计算和 kernel launch 会掩盖设备端优化收益。本方向的目标_x000a_是让 compiled 模型以低开销的原生执行形式交付，降低端到端延迟。"/>
        <s v="降低碎片化图中大量小 pointwise kernel 的 host launch 开销；它是 Host-bound 主线在复杂图上的_x000a_进一步优化，不替代 C++ Wrapper/AOTI 的基础交付能力。"/>
        <s v="让 pointwise、Reduction、MM/BMM 和后续模板根据 Shape、dtype 和硬件自动选择配置。"/>
        <s v="同一个编译产物覆盖多个合法 Shape，并确保 A2/A3/A5 的 kernel 与 launcher 语义一致。"/>
        <s v="在通用模板、融合和 Reduction 稳定后，集中优化实际模型热点。"/>
        <s v="补齐训练场景中的 RNG、deterministic、saved tensor、lazy backward 和 checkpoint 语义。"/>
        <s v="支撑后续优化从“人工猜测”转向“数据驱动”。"/>
        <s v="Python/C++ wrapper 的 size、stride、alignment、device 和 dtype 断言；间接索引越界诊断；i64/fp64 downcast 范围证明；NaN/Inf debug 插桩；更明确的 ABI 和错误信息。"/>
        <s v="图模式benchmarks模型对齐社区，加入日常看护流水_x000a_--项目应用会比较多"/>
      </sharedItems>
    </cacheField>
    <cacheField name="产品线SE" numFmtId="0">
      <sharedItems count="4">
        <s v="王嘉霖"/>
        <s v="程鹏"/>
        <s v="王立君"/>
        <s v="陈睿敏"/>
      </sharedItems>
    </cacheField>
    <cacheField name="小巧灵SE" numFmtId="0">
      <sharedItems containsString="0" containsBlank="1" containsNonDate="0" count="1">
        <m/>
      </sharedItems>
    </cacheField>
    <cacheField name="人数" numFmtId="0">
      <sharedItems containsString="0" containsBlank="1" containsNumber="1" containsInteger="1" minValue="1" maxValue="4" count="5">
        <n v="2"/>
        <m/>
        <n v="3"/>
        <n v="1"/>
        <n v="4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8">
  <r>
    <x v="0"/>
    <x v="0"/>
    <x v="0"/>
    <x v="0"/>
    <x v="0"/>
    <x v="0"/>
    <x v="0"/>
    <x v="0"/>
    <x v="0"/>
    <x v="0"/>
    <x v="0"/>
  </r>
  <r>
    <x v="0"/>
    <x v="1"/>
    <x v="0"/>
    <x v="1"/>
    <x v="1"/>
    <x v="0"/>
    <x v="1"/>
    <x v="1"/>
    <x v="0"/>
    <x v="0"/>
    <x v="1"/>
  </r>
  <r>
    <x v="0"/>
    <x v="2"/>
    <x v="1"/>
    <x v="2"/>
    <x v="2"/>
    <x v="1"/>
    <x v="1"/>
    <x v="0"/>
    <x v="0"/>
    <x v="0"/>
    <x v="2"/>
  </r>
  <r>
    <x v="0"/>
    <x v="3"/>
    <x v="0"/>
    <x v="0"/>
    <x v="0"/>
    <x v="1"/>
    <x v="0"/>
    <x v="2"/>
    <x v="0"/>
    <x v="0"/>
    <x v="1"/>
  </r>
  <r>
    <x v="0"/>
    <x v="4"/>
    <x v="2"/>
    <x v="0"/>
    <x v="0"/>
    <x v="0"/>
    <x v="2"/>
    <x v="3"/>
    <x v="0"/>
    <x v="0"/>
    <x v="3"/>
  </r>
  <r>
    <x v="0"/>
    <x v="5"/>
    <x v="1"/>
    <x v="3"/>
    <x v="3"/>
    <x v="0"/>
    <x v="3"/>
    <x v="4"/>
    <x v="0"/>
    <x v="0"/>
    <x v="1"/>
  </r>
  <r>
    <x v="1"/>
    <x v="6"/>
    <x v="0"/>
    <x v="4"/>
    <x v="4"/>
    <x v="1"/>
    <x v="1"/>
    <x v="5"/>
    <x v="0"/>
    <x v="0"/>
    <x v="1"/>
  </r>
  <r>
    <x v="2"/>
    <x v="7"/>
    <x v="0"/>
    <x v="3"/>
    <x v="5"/>
    <x v="2"/>
    <x v="1"/>
    <x v="6"/>
    <x v="1"/>
    <x v="0"/>
    <x v="4"/>
  </r>
  <r>
    <x v="2"/>
    <x v="8"/>
    <x v="0"/>
    <x v="5"/>
    <x v="6"/>
    <x v="2"/>
    <x v="1"/>
    <x v="7"/>
    <x v="1"/>
    <x v="0"/>
    <x v="1"/>
  </r>
  <r>
    <x v="2"/>
    <x v="9"/>
    <x v="0"/>
    <x v="6"/>
    <x v="7"/>
    <x v="0"/>
    <x v="1"/>
    <x v="8"/>
    <x v="1"/>
    <x v="0"/>
    <x v="1"/>
  </r>
  <r>
    <x v="2"/>
    <x v="10"/>
    <x v="2"/>
    <x v="7"/>
    <x v="8"/>
    <x v="0"/>
    <x v="0"/>
    <x v="9"/>
    <x v="1"/>
    <x v="0"/>
    <x v="1"/>
  </r>
  <r>
    <x v="3"/>
    <x v="11"/>
    <x v="1"/>
    <x v="8"/>
    <x v="9"/>
    <x v="0"/>
    <x v="1"/>
    <x v="10"/>
    <x v="2"/>
    <x v="0"/>
    <x v="1"/>
  </r>
  <r>
    <x v="3"/>
    <x v="12"/>
    <x v="0"/>
    <x v="2"/>
    <x v="2"/>
    <x v="0"/>
    <x v="0"/>
    <x v="11"/>
    <x v="2"/>
    <x v="0"/>
    <x v="1"/>
  </r>
  <r>
    <x v="3"/>
    <x v="13"/>
    <x v="1"/>
    <x v="8"/>
    <x v="9"/>
    <x v="0"/>
    <x v="3"/>
    <x v="12"/>
    <x v="2"/>
    <x v="0"/>
    <x v="1"/>
  </r>
  <r>
    <x v="3"/>
    <x v="14"/>
    <x v="2"/>
    <x v="4"/>
    <x v="4"/>
    <x v="0"/>
    <x v="1"/>
    <x v="13"/>
    <x v="2"/>
    <x v="0"/>
    <x v="1"/>
  </r>
  <r>
    <x v="3"/>
    <x v="15"/>
    <x v="0"/>
    <x v="4"/>
    <x v="4"/>
    <x v="0"/>
    <x v="3"/>
    <x v="14"/>
    <x v="2"/>
    <x v="0"/>
    <x v="1"/>
  </r>
  <r>
    <x v="4"/>
    <x v="16"/>
    <x v="1"/>
    <x v="8"/>
    <x v="9"/>
    <x v="0"/>
    <x v="3"/>
    <x v="15"/>
    <x v="3"/>
    <x v="0"/>
    <x v="1"/>
  </r>
  <r>
    <x v="4"/>
    <x v="17"/>
    <x v="1"/>
    <x v="8"/>
    <x v="9"/>
    <x v="1"/>
    <x v="3"/>
    <x v="16"/>
    <x v="3"/>
    <x v="0"/>
    <x v="1"/>
  </r>
  <r>
    <x v="4"/>
    <x v="18"/>
    <x v="1"/>
    <x v="4"/>
    <x v="4"/>
    <x v="2"/>
    <x v="3"/>
    <x v="17"/>
    <x v="3"/>
    <x v="0"/>
    <x v="3"/>
  </r>
  <r>
    <x v="4"/>
    <x v="19"/>
    <x v="1"/>
    <x v="8"/>
    <x v="9"/>
    <x v="0"/>
    <x v="3"/>
    <x v="18"/>
    <x v="3"/>
    <x v="0"/>
    <x v="1"/>
  </r>
  <r>
    <x v="4"/>
    <x v="20"/>
    <x v="1"/>
    <x v="4"/>
    <x v="4"/>
    <x v="0"/>
    <x v="3"/>
    <x v="19"/>
    <x v="3"/>
    <x v="0"/>
    <x v="1"/>
  </r>
  <r>
    <x v="4"/>
    <x v="21"/>
    <x v="1"/>
    <x v="4"/>
    <x v="4"/>
    <x v="2"/>
    <x v="3"/>
    <x v="20"/>
    <x v="3"/>
    <x v="0"/>
    <x v="2"/>
  </r>
  <r>
    <x v="4"/>
    <x v="22"/>
    <x v="1"/>
    <x v="4"/>
    <x v="4"/>
    <x v="2"/>
    <x v="3"/>
    <x v="21"/>
    <x v="3"/>
    <x v="0"/>
    <x v="1"/>
  </r>
  <r>
    <x v="4"/>
    <x v="23"/>
    <x v="1"/>
    <x v="4"/>
    <x v="4"/>
    <x v="0"/>
    <x v="3"/>
    <x v="22"/>
    <x v="3"/>
    <x v="0"/>
    <x v="1"/>
  </r>
  <r>
    <x v="4"/>
    <x v="24"/>
    <x v="1"/>
    <x v="4"/>
    <x v="4"/>
    <x v="1"/>
    <x v="3"/>
    <x v="23"/>
    <x v="3"/>
    <x v="0"/>
    <x v="1"/>
  </r>
  <r>
    <x v="4"/>
    <x v="25"/>
    <x v="0"/>
    <x v="4"/>
    <x v="4"/>
    <x v="1"/>
    <x v="3"/>
    <x v="24"/>
    <x v="3"/>
    <x v="0"/>
    <x v="1"/>
  </r>
  <r>
    <x v="4"/>
    <x v="26"/>
    <x v="0"/>
    <x v="4"/>
    <x v="4"/>
    <x v="1"/>
    <x v="3"/>
    <x v="25"/>
    <x v="3"/>
    <x v="0"/>
    <x v="1"/>
  </r>
  <r>
    <x v="4"/>
    <x v="27"/>
    <x v="0"/>
    <x v="8"/>
    <x v="9"/>
    <x v="0"/>
    <x v="3"/>
    <x v="26"/>
    <x v="3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6" useAutoFormatting="1" indent="0" outline="1" outlineData="1" showDrill="1" multipleFieldFilters="0">
  <location ref="A5:B10" firstHeaderRow="1" firstDataRow="1" firstDataCol="1" rowPageCount="1" colPageCount="1"/>
  <pivotFields count="11">
    <pivotField multipleItemSelectionAllowed="1" showAll="0">
      <items count="6">
        <item x="1"/>
        <item x="2"/>
        <item x="3"/>
        <item x="0"/>
        <item x="4"/>
        <item t="default"/>
      </items>
    </pivotField>
    <pivotField showAll="0">
      <items count="29">
        <item x="27"/>
        <item x="20"/>
        <item x="17"/>
        <item x="19"/>
        <item x="16"/>
        <item x="0"/>
        <item x="10"/>
        <item x="13"/>
        <item x="11"/>
        <item x="12"/>
        <item x="14"/>
        <item x="15"/>
        <item x="5"/>
        <item x="4"/>
        <item x="23"/>
        <item x="1"/>
        <item x="25"/>
        <item x="3"/>
        <item x="24"/>
        <item x="26"/>
        <item x="6"/>
        <item x="2"/>
        <item x="7"/>
        <item x="8"/>
        <item x="9"/>
        <item x="18"/>
        <item x="21"/>
        <item x="22"/>
        <item t="default"/>
      </items>
    </pivotField>
    <pivotField multipleItemSelectionAllowed="1" showAll="0">
      <items count="4">
        <item x="1"/>
        <item x="2"/>
        <item x="0"/>
        <item t="default"/>
      </items>
    </pivotField>
    <pivotField showAll="0">
      <items count="10">
        <item x="3"/>
        <item x="7"/>
        <item x="6"/>
        <item x="0"/>
        <item x="4"/>
        <item x="1"/>
        <item x="8"/>
        <item x="2"/>
        <item x="5"/>
        <item t="default"/>
      </items>
    </pivotField>
    <pivotField dataField="1" showAll="0">
      <items count="11">
        <item x="8"/>
        <item x="7"/>
        <item x="0"/>
        <item x="4"/>
        <item x="1"/>
        <item x="3"/>
        <item x="9"/>
        <item x="2"/>
        <item x="5"/>
        <item x="6"/>
        <item t="default"/>
      </items>
    </pivotField>
    <pivotField axis="axisPage" showAll="0">
      <items count="4">
        <item x="0"/>
        <item x="2"/>
        <item x="1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>
      <items count="28">
        <item x="6"/>
        <item x="25"/>
        <item x="9"/>
        <item x="4"/>
        <item x="13"/>
        <item x="23"/>
        <item x="5"/>
        <item x="18"/>
        <item x="14"/>
        <item x="1"/>
        <item x="3"/>
        <item x="7"/>
        <item x="17"/>
        <item x="16"/>
        <item x="19"/>
        <item x="20"/>
        <item x="2"/>
        <item x="21"/>
        <item x="26"/>
        <item x="8"/>
        <item x="15"/>
        <item x="22"/>
        <item x="24"/>
        <item x="12"/>
        <item x="10"/>
        <item x="11"/>
        <item x="0"/>
        <item t="default"/>
      </items>
    </pivotField>
    <pivotField showAll="0">
      <items count="5">
        <item x="3"/>
        <item x="1"/>
        <item x="0"/>
        <item x="2"/>
        <item t="default"/>
      </items>
    </pivotField>
    <pivotField showAll="0">
      <items count="2">
        <item x="0"/>
        <item t="default"/>
      </items>
    </pivotField>
    <pivotField showAll="0">
      <items count="6">
        <item x="3"/>
        <item x="0"/>
        <item x="2"/>
        <item x="4"/>
        <item x="1"/>
        <item t="default"/>
      </items>
    </pivotField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5" item="0"/>
  </pageFields>
  <dataFields count="1">
    <dataField name="求和项:工作量" fld="4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B34" sqref="B34"/>
    </sheetView>
  </sheetViews>
  <sheetFormatPr defaultColWidth="9" defaultRowHeight="13.5" outlineLevelCol="1"/>
  <cols>
    <col min="1" max="1" width="9.375"/>
    <col min="2" max="2" width="15"/>
    <col min="3" max="3" width="22.875" customWidth="1"/>
    <col min="4" max="4" width="18.5" customWidth="1"/>
    <col min="5" max="5" width="5.625" customWidth="1"/>
    <col min="6" max="6" width="5.5" customWidth="1"/>
  </cols>
  <sheetData>
    <row r="3" spans="1:2">
      <c r="A3" t="s">
        <v>0</v>
      </c>
      <c r="B3" t="s">
        <v>1</v>
      </c>
    </row>
    <row r="5" spans="1:2">
      <c r="A5" t="s">
        <v>2</v>
      </c>
      <c r="B5" t="s">
        <v>3</v>
      </c>
    </row>
    <row r="6" spans="1:2">
      <c r="A6" s="18">
        <v>930</v>
      </c>
      <c r="B6">
        <v>2</v>
      </c>
    </row>
    <row r="7" spans="1:2">
      <c r="A7" s="18">
        <v>1030</v>
      </c>
      <c r="B7">
        <v>11.5</v>
      </c>
    </row>
    <row r="8" spans="1:2">
      <c r="A8" s="18">
        <v>1130</v>
      </c>
      <c r="B8">
        <v>14</v>
      </c>
    </row>
    <row r="9" spans="1:2">
      <c r="A9" s="18">
        <v>1230</v>
      </c>
      <c r="B9">
        <v>38</v>
      </c>
    </row>
    <row r="10" spans="1:2">
      <c r="A10" s="18" t="s">
        <v>4</v>
      </c>
      <c r="B10">
        <v>65.5</v>
      </c>
    </row>
    <row r="12" spans="1:2">
      <c r="A12" t="s">
        <v>5</v>
      </c>
      <c r="B12">
        <v>4</v>
      </c>
    </row>
    <row r="13" spans="1:2">
      <c r="A13" t="s">
        <v>6</v>
      </c>
      <c r="B13">
        <v>0.7</v>
      </c>
    </row>
    <row r="14" spans="1:2">
      <c r="A14" t="s">
        <v>7</v>
      </c>
      <c r="B14">
        <f>B10/4/0.7</f>
        <v>23.3928571428571</v>
      </c>
    </row>
  </sheetData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topLeftCell="F1" workbookViewId="0">
      <pane ySplit="1" topLeftCell="A19" activePane="bottomLeft" state="frozen"/>
      <selection/>
      <selection pane="bottomLeft" activeCell="H6" sqref="H6:H29"/>
    </sheetView>
  </sheetViews>
  <sheetFormatPr defaultColWidth="9" defaultRowHeight="13.5"/>
  <cols>
    <col min="1" max="1" width="15.25" customWidth="1"/>
    <col min="2" max="2" width="34.9166666666667" customWidth="1"/>
    <col min="3" max="3" width="15.5" style="1" customWidth="1"/>
    <col min="4" max="7" width="11.75" style="1" customWidth="1"/>
    <col min="8" max="8" width="25.7083333333333" customWidth="1"/>
    <col min="9" max="9" width="13.4333333333333" style="1" customWidth="1"/>
    <col min="10" max="10" width="11.3666666666667" style="1" customWidth="1"/>
    <col min="11" max="11" width="25.625" style="1" customWidth="1"/>
    <col min="12" max="12" width="43.5" customWidth="1"/>
  </cols>
  <sheetData>
    <row r="1" ht="21" customHeight="1" spans="1:11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0</v>
      </c>
      <c r="G1" s="2" t="s">
        <v>13</v>
      </c>
      <c r="H1" s="9" t="s">
        <v>14</v>
      </c>
      <c r="I1" s="12" t="s">
        <v>15</v>
      </c>
      <c r="J1" s="12" t="s">
        <v>16</v>
      </c>
      <c r="K1" s="12" t="s">
        <v>17</v>
      </c>
    </row>
    <row r="2" ht="67.5" spans="1:11">
      <c r="A2" s="3" t="s">
        <v>18</v>
      </c>
      <c r="B2" s="4" t="s">
        <v>19</v>
      </c>
      <c r="C2" s="5" t="s">
        <v>20</v>
      </c>
      <c r="D2" s="5" t="s">
        <v>21</v>
      </c>
      <c r="E2" s="5">
        <v>2</v>
      </c>
      <c r="F2" s="5" t="s">
        <v>1</v>
      </c>
      <c r="G2" s="5">
        <v>1030</v>
      </c>
      <c r="H2" s="3"/>
      <c r="I2" s="5" t="s">
        <v>22</v>
      </c>
      <c r="J2" s="8"/>
      <c r="K2" s="13">
        <v>2</v>
      </c>
    </row>
    <row r="3" ht="39.75" customHeight="1" spans="1:11">
      <c r="A3" s="3" t="s">
        <v>18</v>
      </c>
      <c r="B3" s="3" t="s">
        <v>23</v>
      </c>
      <c r="C3" s="5" t="s">
        <v>20</v>
      </c>
      <c r="D3" s="5" t="s">
        <v>24</v>
      </c>
      <c r="E3" s="5">
        <v>4</v>
      </c>
      <c r="F3" s="5" t="s">
        <v>1</v>
      </c>
      <c r="G3" s="5">
        <v>1130</v>
      </c>
      <c r="H3" s="10" t="s">
        <v>25</v>
      </c>
      <c r="I3" s="5" t="s">
        <v>22</v>
      </c>
      <c r="J3" s="8"/>
      <c r="K3" s="14"/>
    </row>
    <row r="4" ht="39.75" customHeight="1" spans="1:11">
      <c r="A4" s="6" t="s">
        <v>18</v>
      </c>
      <c r="B4" s="7" t="s">
        <v>26</v>
      </c>
      <c r="C4" s="8" t="s">
        <v>27</v>
      </c>
      <c r="D4" s="8" t="s">
        <v>28</v>
      </c>
      <c r="E4" s="8">
        <v>9</v>
      </c>
      <c r="F4" s="8" t="s">
        <v>29</v>
      </c>
      <c r="G4" s="8">
        <v>1130</v>
      </c>
      <c r="H4" s="6"/>
      <c r="I4" s="8" t="s">
        <v>22</v>
      </c>
      <c r="J4" s="8"/>
      <c r="K4" s="8"/>
    </row>
    <row r="5" ht="27" spans="1:11">
      <c r="A5" s="6" t="s">
        <v>18</v>
      </c>
      <c r="B5" s="6" t="s">
        <v>30</v>
      </c>
      <c r="C5" s="8" t="s">
        <v>20</v>
      </c>
      <c r="D5" s="8" t="s">
        <v>21</v>
      </c>
      <c r="E5" s="8">
        <v>2</v>
      </c>
      <c r="F5" s="8" t="s">
        <v>29</v>
      </c>
      <c r="G5" s="8">
        <v>1030</v>
      </c>
      <c r="H5" s="11" t="s">
        <v>31</v>
      </c>
      <c r="I5" s="8" t="s">
        <v>22</v>
      </c>
      <c r="J5" s="8"/>
      <c r="K5" s="8"/>
    </row>
    <row r="6" ht="27" spans="1:11">
      <c r="A6" s="3" t="s">
        <v>18</v>
      </c>
      <c r="B6" s="3" t="s">
        <v>32</v>
      </c>
      <c r="C6" s="5" t="s">
        <v>33</v>
      </c>
      <c r="D6" s="5" t="s">
        <v>21</v>
      </c>
      <c r="E6" s="5">
        <v>2</v>
      </c>
      <c r="F6" s="5" t="s">
        <v>1</v>
      </c>
      <c r="G6" s="5">
        <v>930</v>
      </c>
      <c r="H6" s="10" t="s">
        <v>34</v>
      </c>
      <c r="I6" s="5" t="s">
        <v>22</v>
      </c>
      <c r="J6" s="8"/>
      <c r="K6" s="15">
        <v>3</v>
      </c>
    </row>
    <row r="7" ht="40.5" spans="1:11">
      <c r="A7" s="3" t="s">
        <v>18</v>
      </c>
      <c r="B7" s="3" t="s">
        <v>35</v>
      </c>
      <c r="C7" s="5" t="s">
        <v>27</v>
      </c>
      <c r="D7" s="5" t="s">
        <v>36</v>
      </c>
      <c r="E7" s="5">
        <v>5</v>
      </c>
      <c r="F7" s="5" t="s">
        <v>1</v>
      </c>
      <c r="G7" s="5">
        <v>1230</v>
      </c>
      <c r="H7" s="10" t="s">
        <v>37</v>
      </c>
      <c r="I7" s="5" t="s">
        <v>22</v>
      </c>
      <c r="J7" s="8"/>
      <c r="K7" s="16"/>
    </row>
    <row r="8" spans="1:11">
      <c r="A8" s="6" t="s">
        <v>38</v>
      </c>
      <c r="B8" s="6" t="s">
        <v>39</v>
      </c>
      <c r="C8" s="8" t="s">
        <v>20</v>
      </c>
      <c r="D8" s="8" t="s">
        <v>40</v>
      </c>
      <c r="E8" s="8">
        <v>3</v>
      </c>
      <c r="F8" s="8" t="s">
        <v>29</v>
      </c>
      <c r="G8" s="8">
        <v>1130</v>
      </c>
      <c r="H8" s="11" t="s">
        <v>41</v>
      </c>
      <c r="I8" s="8" t="s">
        <v>22</v>
      </c>
      <c r="J8" s="8"/>
      <c r="K8" s="16"/>
    </row>
    <row r="9" spans="1:11">
      <c r="A9" s="6" t="s">
        <v>42</v>
      </c>
      <c r="B9" s="6" t="s">
        <v>43</v>
      </c>
      <c r="C9" s="8" t="s">
        <v>20</v>
      </c>
      <c r="D9" s="8" t="s">
        <v>36</v>
      </c>
      <c r="E9" s="8">
        <v>10</v>
      </c>
      <c r="F9" s="8"/>
      <c r="G9" s="8">
        <v>1130</v>
      </c>
      <c r="H9" s="11" t="s">
        <v>44</v>
      </c>
      <c r="I9" s="8" t="s">
        <v>45</v>
      </c>
      <c r="J9" s="8"/>
      <c r="K9" s="16"/>
    </row>
    <row r="10" spans="1:11">
      <c r="A10" s="6" t="s">
        <v>42</v>
      </c>
      <c r="B10" s="6" t="s">
        <v>46</v>
      </c>
      <c r="C10" s="8" t="s">
        <v>20</v>
      </c>
      <c r="D10" s="8" t="s">
        <v>47</v>
      </c>
      <c r="E10" s="8">
        <v>2.5</v>
      </c>
      <c r="F10" s="8"/>
      <c r="G10" s="8">
        <v>1130</v>
      </c>
      <c r="H10" s="11" t="s">
        <v>48</v>
      </c>
      <c r="I10" s="8" t="s">
        <v>45</v>
      </c>
      <c r="J10" s="8"/>
      <c r="K10" s="16"/>
    </row>
    <row r="11" ht="54" spans="1:11">
      <c r="A11" s="3" t="s">
        <v>42</v>
      </c>
      <c r="B11" s="4" t="s">
        <v>49</v>
      </c>
      <c r="C11" s="5" t="s">
        <v>20</v>
      </c>
      <c r="D11" s="5" t="s">
        <v>50</v>
      </c>
      <c r="E11" s="5">
        <v>1</v>
      </c>
      <c r="F11" s="5" t="s">
        <v>1</v>
      </c>
      <c r="G11" s="5">
        <v>1130</v>
      </c>
      <c r="H11" s="10" t="s">
        <v>51</v>
      </c>
      <c r="I11" s="5" t="s">
        <v>45</v>
      </c>
      <c r="J11" s="8"/>
      <c r="K11" s="16"/>
    </row>
    <row r="12" ht="49.3" customHeight="1" spans="1:11">
      <c r="A12" s="3" t="s">
        <v>42</v>
      </c>
      <c r="B12" s="3" t="s">
        <v>52</v>
      </c>
      <c r="C12" s="5" t="s">
        <v>33</v>
      </c>
      <c r="D12" s="5" t="s">
        <v>53</v>
      </c>
      <c r="E12" s="5">
        <v>0.5</v>
      </c>
      <c r="F12" s="5" t="s">
        <v>1</v>
      </c>
      <c r="G12" s="5">
        <v>1030</v>
      </c>
      <c r="H12" s="10" t="s">
        <v>54</v>
      </c>
      <c r="I12" s="5" t="s">
        <v>45</v>
      </c>
      <c r="J12" s="8"/>
      <c r="K12" s="17"/>
    </row>
    <row r="13" ht="40.85" customHeight="1" spans="1:11">
      <c r="A13" s="3" t="s">
        <v>55</v>
      </c>
      <c r="B13" s="3" t="s">
        <v>56</v>
      </c>
      <c r="C13" s="5" t="s">
        <v>27</v>
      </c>
      <c r="D13" s="5" t="s">
        <v>57</v>
      </c>
      <c r="E13" s="5">
        <v>6</v>
      </c>
      <c r="F13" s="5" t="s">
        <v>1</v>
      </c>
      <c r="G13" s="5">
        <v>1130</v>
      </c>
      <c r="H13" s="10" t="s">
        <v>58</v>
      </c>
      <c r="I13" s="5" t="s">
        <v>59</v>
      </c>
      <c r="J13" s="8"/>
      <c r="K13" s="8">
        <v>2</v>
      </c>
    </row>
    <row r="14" ht="27" spans="1:11">
      <c r="A14" s="3" t="s">
        <v>55</v>
      </c>
      <c r="B14" s="3" t="s">
        <v>60</v>
      </c>
      <c r="C14" s="5" t="s">
        <v>20</v>
      </c>
      <c r="D14" s="5" t="s">
        <v>28</v>
      </c>
      <c r="E14" s="5">
        <v>9</v>
      </c>
      <c r="F14" s="5" t="s">
        <v>1</v>
      </c>
      <c r="G14" s="5">
        <v>1030</v>
      </c>
      <c r="H14" s="10" t="s">
        <v>61</v>
      </c>
      <c r="I14" s="5" t="s">
        <v>59</v>
      </c>
      <c r="J14" s="8"/>
      <c r="K14" s="8">
        <v>3</v>
      </c>
    </row>
    <row r="15" ht="27" spans="1:11">
      <c r="A15" s="3" t="s">
        <v>55</v>
      </c>
      <c r="B15" s="3" t="s">
        <v>62</v>
      </c>
      <c r="C15" s="5" t="s">
        <v>27</v>
      </c>
      <c r="D15" s="5" t="s">
        <v>57</v>
      </c>
      <c r="E15" s="5">
        <v>6</v>
      </c>
      <c r="F15" s="5" t="s">
        <v>1</v>
      </c>
      <c r="G15" s="5">
        <v>1230</v>
      </c>
      <c r="H15" s="10" t="s">
        <v>63</v>
      </c>
      <c r="I15" s="5" t="s">
        <v>59</v>
      </c>
      <c r="J15" s="8"/>
      <c r="K15" s="8">
        <v>2</v>
      </c>
    </row>
    <row r="16" ht="18.95" customHeight="1" spans="1:11">
      <c r="A16" s="3" t="s">
        <v>55</v>
      </c>
      <c r="B16" s="3" t="s">
        <v>64</v>
      </c>
      <c r="C16" s="5" t="s">
        <v>33</v>
      </c>
      <c r="D16" s="5" t="s">
        <v>40</v>
      </c>
      <c r="E16" s="5">
        <v>3</v>
      </c>
      <c r="F16" s="5" t="s">
        <v>1</v>
      </c>
      <c r="G16" s="5">
        <v>1130</v>
      </c>
      <c r="H16" s="10" t="s">
        <v>65</v>
      </c>
      <c r="I16" s="5" t="s">
        <v>59</v>
      </c>
      <c r="J16" s="8"/>
      <c r="K16" s="8">
        <v>1</v>
      </c>
    </row>
    <row r="17" ht="21.2" customHeight="1" spans="1:11">
      <c r="A17" s="3" t="s">
        <v>55</v>
      </c>
      <c r="B17" s="3" t="s">
        <v>66</v>
      </c>
      <c r="C17" s="5" t="s">
        <v>20</v>
      </c>
      <c r="D17" s="5" t="s">
        <v>40</v>
      </c>
      <c r="E17" s="5">
        <v>3</v>
      </c>
      <c r="F17" s="5" t="s">
        <v>1</v>
      </c>
      <c r="G17" s="5">
        <v>1230</v>
      </c>
      <c r="H17" s="10" t="s">
        <v>67</v>
      </c>
      <c r="I17" s="5" t="s">
        <v>59</v>
      </c>
      <c r="J17" s="8"/>
      <c r="K17" s="8">
        <v>1</v>
      </c>
    </row>
    <row r="18" ht="40.5" spans="1:11">
      <c r="A18" s="3" t="s">
        <v>68</v>
      </c>
      <c r="B18" s="3" t="s">
        <v>69</v>
      </c>
      <c r="C18" s="5" t="s">
        <v>27</v>
      </c>
      <c r="D18" s="5" t="s">
        <v>57</v>
      </c>
      <c r="E18" s="5">
        <v>6</v>
      </c>
      <c r="F18" s="5" t="s">
        <v>1</v>
      </c>
      <c r="G18" s="5">
        <v>1230</v>
      </c>
      <c r="H18" s="10" t="s">
        <v>70</v>
      </c>
      <c r="I18" s="5" t="s">
        <v>71</v>
      </c>
      <c r="J18" s="8"/>
      <c r="K18" s="8">
        <v>2</v>
      </c>
    </row>
    <row r="19" ht="27" spans="1:11">
      <c r="A19" s="6" t="s">
        <v>68</v>
      </c>
      <c r="B19" s="6" t="s">
        <v>72</v>
      </c>
      <c r="C19" s="8" t="s">
        <v>27</v>
      </c>
      <c r="D19" s="8" t="s">
        <v>57</v>
      </c>
      <c r="E19" s="8">
        <v>6</v>
      </c>
      <c r="F19" s="8" t="s">
        <v>29</v>
      </c>
      <c r="G19" s="8">
        <v>1230</v>
      </c>
      <c r="H19" s="11" t="s">
        <v>73</v>
      </c>
      <c r="I19" s="8" t="s">
        <v>71</v>
      </c>
      <c r="J19" s="8"/>
      <c r="K19" s="8"/>
    </row>
    <row r="20" ht="27" spans="1:11">
      <c r="A20" s="6" t="s">
        <v>68</v>
      </c>
      <c r="B20" s="6" t="s">
        <v>74</v>
      </c>
      <c r="C20" s="8" t="s">
        <v>27</v>
      </c>
      <c r="D20" s="8" t="s">
        <v>40</v>
      </c>
      <c r="E20" s="8">
        <v>3</v>
      </c>
      <c r="F20" s="8"/>
      <c r="G20" s="8">
        <v>1230</v>
      </c>
      <c r="H20" s="11" t="s">
        <v>75</v>
      </c>
      <c r="I20" s="8" t="s">
        <v>71</v>
      </c>
      <c r="J20" s="8"/>
      <c r="K20" s="8">
        <v>4</v>
      </c>
    </row>
    <row r="21" ht="81" spans="1:11">
      <c r="A21" s="3" t="s">
        <v>68</v>
      </c>
      <c r="B21" s="3" t="s">
        <v>76</v>
      </c>
      <c r="C21" s="5" t="s">
        <v>27</v>
      </c>
      <c r="D21" s="5" t="s">
        <v>57</v>
      </c>
      <c r="E21" s="5">
        <v>6</v>
      </c>
      <c r="F21" s="5" t="s">
        <v>1</v>
      </c>
      <c r="G21" s="5">
        <v>1230</v>
      </c>
      <c r="H21" s="10" t="s">
        <v>77</v>
      </c>
      <c r="I21" s="5" t="s">
        <v>71</v>
      </c>
      <c r="J21" s="8"/>
      <c r="K21" s="8">
        <v>2</v>
      </c>
    </row>
    <row r="22" ht="54" spans="1:11">
      <c r="A22" s="3" t="s">
        <v>68</v>
      </c>
      <c r="B22" s="3" t="s">
        <v>78</v>
      </c>
      <c r="C22" s="5" t="s">
        <v>27</v>
      </c>
      <c r="D22" s="5" t="s">
        <v>40</v>
      </c>
      <c r="E22" s="5">
        <v>3</v>
      </c>
      <c r="F22" s="5" t="s">
        <v>1</v>
      </c>
      <c r="G22" s="5">
        <v>1230</v>
      </c>
      <c r="H22" s="10" t="s">
        <v>79</v>
      </c>
      <c r="I22" s="5" t="s">
        <v>71</v>
      </c>
      <c r="J22" s="8"/>
      <c r="K22" s="8">
        <v>1</v>
      </c>
    </row>
    <row r="23" ht="27" spans="1:11">
      <c r="A23" s="6" t="s">
        <v>68</v>
      </c>
      <c r="B23" s="6" t="s">
        <v>80</v>
      </c>
      <c r="C23" s="8" t="s">
        <v>27</v>
      </c>
      <c r="D23" s="8" t="s">
        <v>40</v>
      </c>
      <c r="E23" s="8">
        <v>3</v>
      </c>
      <c r="F23" s="8"/>
      <c r="G23" s="8">
        <v>1230</v>
      </c>
      <c r="H23" s="11" t="s">
        <v>81</v>
      </c>
      <c r="I23" s="8" t="s">
        <v>71</v>
      </c>
      <c r="J23" s="8"/>
      <c r="K23" s="8">
        <v>3</v>
      </c>
    </row>
    <row r="24" ht="27" spans="1:11">
      <c r="A24" s="6" t="s">
        <v>68</v>
      </c>
      <c r="B24" s="6" t="s">
        <v>82</v>
      </c>
      <c r="C24" s="8" t="s">
        <v>27</v>
      </c>
      <c r="D24" s="8" t="s">
        <v>40</v>
      </c>
      <c r="E24" s="8">
        <v>3</v>
      </c>
      <c r="F24" s="8"/>
      <c r="G24" s="8">
        <v>1230</v>
      </c>
      <c r="H24" s="11" t="s">
        <v>83</v>
      </c>
      <c r="I24" s="8" t="s">
        <v>71</v>
      </c>
      <c r="J24" s="8"/>
      <c r="K24" s="8"/>
    </row>
    <row r="25" ht="27" spans="1:11">
      <c r="A25" s="3" t="s">
        <v>68</v>
      </c>
      <c r="B25" s="3" t="s">
        <v>84</v>
      </c>
      <c r="C25" s="5" t="s">
        <v>27</v>
      </c>
      <c r="D25" s="5" t="s">
        <v>40</v>
      </c>
      <c r="E25" s="5">
        <v>3</v>
      </c>
      <c r="F25" s="5" t="s">
        <v>1</v>
      </c>
      <c r="G25" s="5">
        <v>1230</v>
      </c>
      <c r="H25" s="10" t="s">
        <v>85</v>
      </c>
      <c r="I25" s="5" t="s">
        <v>71</v>
      </c>
      <c r="J25" s="8"/>
      <c r="K25" s="8">
        <v>1</v>
      </c>
    </row>
    <row r="26" ht="27" spans="1:11">
      <c r="A26" s="6" t="s">
        <v>68</v>
      </c>
      <c r="B26" s="6" t="s">
        <v>86</v>
      </c>
      <c r="C26" s="8" t="s">
        <v>27</v>
      </c>
      <c r="D26" s="8" t="s">
        <v>40</v>
      </c>
      <c r="E26" s="8">
        <v>3</v>
      </c>
      <c r="F26" s="8" t="s">
        <v>29</v>
      </c>
      <c r="G26" s="8">
        <v>1230</v>
      </c>
      <c r="H26" s="11" t="s">
        <v>87</v>
      </c>
      <c r="I26" s="8" t="s">
        <v>71</v>
      </c>
      <c r="J26" s="8"/>
      <c r="K26" s="8"/>
    </row>
    <row r="27" ht="28.5" customHeight="1" spans="1:11">
      <c r="A27" s="6" t="s">
        <v>68</v>
      </c>
      <c r="B27" s="6" t="s">
        <v>88</v>
      </c>
      <c r="C27" s="8" t="s">
        <v>20</v>
      </c>
      <c r="D27" s="8" t="s">
        <v>40</v>
      </c>
      <c r="E27" s="8">
        <v>3</v>
      </c>
      <c r="F27" s="8" t="s">
        <v>29</v>
      </c>
      <c r="G27" s="8">
        <v>1230</v>
      </c>
      <c r="H27" s="11" t="s">
        <v>89</v>
      </c>
      <c r="I27" s="8" t="s">
        <v>71</v>
      </c>
      <c r="J27" s="8"/>
      <c r="K27" s="8"/>
    </row>
    <row r="28" ht="54" spans="1:11">
      <c r="A28" s="6" t="s">
        <v>68</v>
      </c>
      <c r="B28" s="6" t="s">
        <v>90</v>
      </c>
      <c r="C28" s="8" t="s">
        <v>20</v>
      </c>
      <c r="D28" s="8" t="s">
        <v>40</v>
      </c>
      <c r="E28" s="8">
        <v>3</v>
      </c>
      <c r="F28" s="8" t="s">
        <v>29</v>
      </c>
      <c r="G28" s="8">
        <v>1230</v>
      </c>
      <c r="H28" s="11" t="s">
        <v>91</v>
      </c>
      <c r="I28" s="8" t="s">
        <v>71</v>
      </c>
      <c r="J28" s="8"/>
      <c r="K28" s="8"/>
    </row>
    <row r="29" ht="27" spans="1:11">
      <c r="A29" s="3" t="s">
        <v>68</v>
      </c>
      <c r="B29" s="3" t="s">
        <v>92</v>
      </c>
      <c r="C29" s="5" t="s">
        <v>20</v>
      </c>
      <c r="D29" s="5" t="s">
        <v>57</v>
      </c>
      <c r="E29" s="5">
        <v>6</v>
      </c>
      <c r="F29" s="5" t="s">
        <v>1</v>
      </c>
      <c r="G29" s="5">
        <v>1230</v>
      </c>
      <c r="H29" s="10" t="s">
        <v>93</v>
      </c>
      <c r="I29" s="5" t="s">
        <v>71</v>
      </c>
      <c r="J29" s="8"/>
      <c r="K29" s="8">
        <v>2</v>
      </c>
    </row>
  </sheetData>
  <sheetProtection formatCells="0" insertHyperlinks="0" autoFilter="0"/>
  <autoFilter xmlns:etc="http://www.wps.cn/officeDocument/2017/etCustomData" ref="A1:K29" etc:filterBottomFollowUsedRange="0">
    <extLst/>
  </autoFilter>
  <mergeCells count="2">
    <mergeCell ref="K2:K3"/>
    <mergeCell ref="K6:K12"/>
  </mergeCells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>
  <sheetItem sheetStid="1">
    <filterData filterID="AK20210901JXNSXO456759">
      <hiddenRange rowFrom="3" rowTo="4"/>
      <hiddenRange rowFrom="7" rowTo="9"/>
      <hiddenRange rowFrom="18" rowTo="19"/>
      <hiddenRange rowFrom="22" rowTo="23"/>
      <hiddenRange rowFrom="25" rowTo="27"/>
    </filterData>
    <autofilterInfo filterID="AK20210901JXNSXO456759">
      <autoFilter xmlns="http://schemas.openxmlformats.org/spreadsheetml/2006/main" ref="A1:K29">
        <filterColumn colId="5">
          <customFilters>
            <customFilter operator="equal" val="小巧灵"/>
          </customFilters>
        </filterColumn>
      </autoFilter>
    </autofilterInfo>
  </sheetItem>
</autofilters>
</file>

<file path=customXml/item2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>
      <pivotTables>
        <pivotTable pivotTableName="数据透视表1" updateTime="1" sourceDataDirty="0"/>
      </pivotTables>
      <cellprotection/>
      <appEtDbRelations/>
    </woSheetProps>
    <woSheetProps sheetStid="1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2"/>
  <pixelatorList sheetStid="1"/>
  <pixelatorList sheetStid="3"/>
  <pixelatorList sheetStid="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WWO_wpscloud_20230922035034-9147342a44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统计</vt:lpstr>
      <vt:lpstr>需求规划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Jishuangfeng (Jimmy)</dc:creator>
  <cp:lastModifiedBy>yuzhenglin</cp:lastModifiedBy>
  <dcterms:created xsi:type="dcterms:W3CDTF">2003-11-12T11:59:00Z</dcterms:created>
  <cp:lastPrinted>2006-01-20T11:50:00Z</cp:lastPrinted>
  <dcterms:modified xsi:type="dcterms:W3CDTF">2026-09-04T17:24:00Z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
SpQXKoG3kDrHxbtwjjI2bTOdUwIkYr/W5/+ylhwSIPBkBSDq6AQyWQGUv+jLThg3nrFatU8D
RxtLhhYzX+BOVOjRyKSUGFoqvbhe2mN9kaXYBU4xRuexYD0ZYCcYqGJrDgubNmnPhNmEYf4a
+x3adntaFX6SA9Biln0bE</vt:lpwstr>
  </property>
  <property fmtid="{D5CDD505-2E9C-101B-9397-08002B2CF9AE}" pid="3" name="_ms_pID_7253431">
    <vt:lpwstr>D8O3VmwI+Z+PlISGjFExb4WrgeTq4XPkfm0hCre81xp56PEebhl
XYYXFD11XlLvvike5JRQtmqtTp4NshrAT8MsoZP7ICMzMUYFkHT930bCAaaAhcJX/MpzdKQQ
4Hyq5K+q74HwhApKetItk1FOE2x06JQRrdmUyTTBnHF0jbdXNYG1uTWPm9eJFNsKgN98Nr25
s3UqtHQxxlK3pQexaSvmzHwV41HRA6xXiARy3iGtqp</vt:lpwstr>
  </property>
  <property fmtid="{D5CDD505-2E9C-101B-9397-08002B2CF9AE}" pid="4" name="_ms_pID_7253432">
    <vt:lpwstr>oNeTSWQYm0V5/MXRxHPt5ydn4yE2/u
OQM/XRq8IseLeSeO9Eh/26gAvz5+qhierc1T8lvMZuPaU36C/9G9PuxqRsVgLFiPPxNFudRA
AGuFqScwKMQtVeOuWcxq2qiNRCNBrGLp0A0L1Uba+TxrBvw/TowZdC4rQ07UpqVflcfepn32
QtuRfZiZW20W7j/yyk5RsN1Kd44oVQTQuz4kuVKSNALeLaLc5hVkRqeL3TvVNn/</vt:lpwstr>
  </property>
  <property fmtid="{D5CDD505-2E9C-101B-9397-08002B2CF9AE}" pid="5" name="_ms_pID_7253433">
    <vt:lpwstr>OZ31sW5W4
1++nvbQyLnNmMOnfXeqLBhOdakc=</vt:lpwstr>
  </property>
  <property fmtid="{D5CDD505-2E9C-101B-9397-08002B2CF9AE}" pid="6" name="_2015_ms_pID_725343">
    <vt:lpwstr>(3)7k0Wgumv+G8HLbA/EmpctOuOLSAHxuGn5NVogbjpfsfc2UM9gT+EQEgmHV5Yy73Q7B8MkEdY
JIUT41af0DGKNev13jxAqoBfHH0RovS5pPwuLtnZ8AdppF3w+oNtHAhtUqJDLjdF4kcx040p
NRj+Dxy0HyEdoKrIiJsAnEdlkqUE1zP1xjTCqpnR5Xp1pqCIxNb8fgcsZ5Tr7l9m7SxNWxTp
URMbv297cRos0hDto0</vt:lpwstr>
  </property>
  <property fmtid="{D5CDD505-2E9C-101B-9397-08002B2CF9AE}" pid="7" name="_2015_ms_pID_7253431">
    <vt:lpwstr>G2vArXhbty1134Lpuu5JjZxCuA58FGtnM9RtnchE3UrTI+QPZU4s3K
lPyNjn+Oqnnh2B4ky1UQ6k/b6wEYsQsENo7PJPqKaEFZTFFmDoDdaxIuS43izpTJnN2pjcAe
s5WuaJrYZf+Um96WGNcHWPXmlGvSzRnDiPK+GpbtVG3Cg91jMxfGTl5fyTaOLSOIzPgS3Dc2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1788146060</vt:lpwstr>
  </property>
  <property fmtid="{D5CDD505-2E9C-101B-9397-08002B2CF9AE}" pid="13" name="KSOProductBuildVer">
    <vt:lpwstr>2052-0.0.0.0</vt:lpwstr>
  </property>
</Properties>
</file>